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svcorp-my.sharepoint.com/personal/mikhael_jorge_dsv_com/Documents/Minhas coisas/Projetos/ProjetoFaustoImplementationPlan/teste.2.0/"/>
    </mc:Choice>
  </mc:AlternateContent>
  <xr:revisionPtr revIDLastSave="122" documentId="8_{C8F10BB8-6238-4891-8333-A7892509AF42}" xr6:coauthVersionLast="47" xr6:coauthVersionMax="47" xr10:uidLastSave="{3928C69A-F20E-423C-9400-93958B532FCE}"/>
  <bookViews>
    <workbookView xWindow="30360" yWindow="6990" windowWidth="16200" windowHeight="11295" tabRatio="805" xr2:uid="{00000000-000D-0000-FFFF-FFFF00000000}"/>
  </bookViews>
  <sheets>
    <sheet name="Implementation Plan" sheetId="19" r:id="rId1"/>
    <sheet name="CW1" sheetId="21" r:id="rId2"/>
    <sheet name="Sheet1" sheetId="20" r:id="rId3"/>
  </sheets>
  <definedNames>
    <definedName name="_xlnm._FilterDatabase" localSheetId="0" hidden="1">'Implementation Plan'!$B$7:$J$84</definedName>
    <definedName name="_xlnm.Print_Area" localSheetId="0">'Implementation Plan'!$B$1:$J$84</definedName>
    <definedName name="_xlnm.Print_Titles" localSheetId="0">'Implementation Plan'!$5:$7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9" l="1"/>
  <c r="G83" i="19"/>
  <c r="G82" i="19"/>
  <c r="G81" i="19"/>
  <c r="G80" i="19"/>
  <c r="G79" i="19"/>
  <c r="G78" i="19" s="1"/>
  <c r="G75" i="19"/>
  <c r="G74" i="19"/>
  <c r="G73" i="19"/>
  <c r="G72" i="19"/>
  <c r="G71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4" i="19"/>
  <c r="G43" i="19"/>
  <c r="G42" i="19"/>
  <c r="G41" i="19"/>
  <c r="G40" i="19"/>
  <c r="G39" i="19"/>
  <c r="G38" i="19"/>
  <c r="G37" i="19"/>
  <c r="G36" i="19"/>
  <c r="G35" i="19"/>
  <c r="G34" i="19"/>
  <c r="G33" i="19"/>
  <c r="G32" i="19"/>
  <c r="G31" i="19"/>
  <c r="G30" i="19"/>
  <c r="G27" i="19"/>
  <c r="G26" i="19"/>
  <c r="G25" i="19"/>
  <c r="G24" i="19"/>
  <c r="G21" i="19"/>
  <c r="G20" i="19"/>
  <c r="G19" i="19"/>
  <c r="G18" i="19"/>
  <c r="G17" i="19"/>
  <c r="G16" i="19"/>
  <c r="G9" i="19"/>
  <c r="G13" i="19"/>
  <c r="G12" i="19"/>
  <c r="G11" i="19"/>
  <c r="F11" i="19" l="1"/>
  <c r="U44" i="19" l="1"/>
  <c r="T44" i="19"/>
  <c r="R44" i="19"/>
  <c r="S44" i="19" s="1"/>
  <c r="P44" i="19"/>
  <c r="Q44" i="19" s="1"/>
  <c r="W44" i="19" s="1"/>
  <c r="T43" i="19"/>
  <c r="B43" i="19"/>
  <c r="T41" i="19"/>
  <c r="B41" i="19"/>
  <c r="T40" i="19"/>
  <c r="B27" i="19"/>
  <c r="B26" i="19"/>
  <c r="P25" i="19"/>
  <c r="Q25" i="19" s="1"/>
  <c r="B25" i="19"/>
  <c r="T24" i="19"/>
  <c r="U65" i="19"/>
  <c r="T65" i="19"/>
  <c r="R65" i="19"/>
  <c r="S65" i="19" s="1"/>
  <c r="P65" i="19"/>
  <c r="Q65" i="19" s="1"/>
  <c r="U66" i="19"/>
  <c r="T66" i="19"/>
  <c r="R66" i="19"/>
  <c r="S66" i="19" s="1"/>
  <c r="P66" i="19"/>
  <c r="Q66" i="19" s="1"/>
  <c r="U67" i="19"/>
  <c r="T67" i="19"/>
  <c r="R67" i="19"/>
  <c r="S67" i="19" s="1"/>
  <c r="P67" i="19"/>
  <c r="Q67" i="19" s="1"/>
  <c r="T39" i="19"/>
  <c r="T38" i="19"/>
  <c r="B38" i="19"/>
  <c r="T37" i="19"/>
  <c r="B37" i="19"/>
  <c r="T36" i="19"/>
  <c r="P27" i="19" l="1"/>
  <c r="Q27" i="19" s="1"/>
  <c r="X44" i="19"/>
  <c r="T42" i="19"/>
  <c r="P42" i="19"/>
  <c r="Q42" i="19" s="1"/>
  <c r="R43" i="19"/>
  <c r="S43" i="19" s="1"/>
  <c r="P43" i="19"/>
  <c r="Q43" i="19" s="1"/>
  <c r="W43" i="19" s="1"/>
  <c r="U42" i="19"/>
  <c r="R42" i="19"/>
  <c r="S42" i="19" s="1"/>
  <c r="P41" i="19"/>
  <c r="Q41" i="19" s="1"/>
  <c r="W41" i="19" s="1"/>
  <c r="P40" i="19"/>
  <c r="Q40" i="19" s="1"/>
  <c r="W40" i="19" s="1"/>
  <c r="X65" i="19"/>
  <c r="T27" i="19"/>
  <c r="W27" i="19" s="1"/>
  <c r="P26" i="19"/>
  <c r="Q26" i="19" s="1"/>
  <c r="T26" i="19"/>
  <c r="R26" i="19"/>
  <c r="S26" i="19" s="1"/>
  <c r="U26" i="19"/>
  <c r="P24" i="19"/>
  <c r="Q24" i="19" s="1"/>
  <c r="W24" i="19" s="1"/>
  <c r="T25" i="19"/>
  <c r="W25" i="19" s="1"/>
  <c r="X67" i="19"/>
  <c r="W65" i="19"/>
  <c r="W67" i="19"/>
  <c r="X66" i="19"/>
  <c r="W66" i="19"/>
  <c r="P39" i="19"/>
  <c r="Q39" i="19" s="1"/>
  <c r="W39" i="19" s="1"/>
  <c r="P36" i="19"/>
  <c r="Q36" i="19" s="1"/>
  <c r="W36" i="19" s="1"/>
  <c r="P38" i="19"/>
  <c r="Q38" i="19" s="1"/>
  <c r="W38" i="19" s="1"/>
  <c r="P37" i="19"/>
  <c r="Q37" i="19" s="1"/>
  <c r="W37" i="19" s="1"/>
  <c r="T51" i="19"/>
  <c r="U51" i="19"/>
  <c r="R51" i="19"/>
  <c r="S51" i="19" s="1"/>
  <c r="P51" i="19"/>
  <c r="Q51" i="19" s="1"/>
  <c r="P57" i="19"/>
  <c r="Q57" i="19" s="1"/>
  <c r="R57" i="19"/>
  <c r="S57" i="19" s="1"/>
  <c r="T57" i="19"/>
  <c r="U57" i="19"/>
  <c r="W42" i="19" l="1"/>
  <c r="W26" i="19"/>
  <c r="U40" i="19"/>
  <c r="R40" i="19"/>
  <c r="S40" i="19" s="1"/>
  <c r="U43" i="19"/>
  <c r="X43" i="19" s="1"/>
  <c r="U41" i="19"/>
  <c r="R41" i="19"/>
  <c r="S41" i="19" s="1"/>
  <c r="X42" i="19"/>
  <c r="U25" i="19"/>
  <c r="R25" i="19"/>
  <c r="S25" i="19" s="1"/>
  <c r="U24" i="19"/>
  <c r="R24" i="19"/>
  <c r="S24" i="19" s="1"/>
  <c r="R27" i="19"/>
  <c r="S27" i="19" s="1"/>
  <c r="U27" i="19"/>
  <c r="X26" i="19"/>
  <c r="U38" i="19"/>
  <c r="R38" i="19"/>
  <c r="S38" i="19" s="1"/>
  <c r="U37" i="19"/>
  <c r="R37" i="19"/>
  <c r="S37" i="19" s="1"/>
  <c r="U36" i="19"/>
  <c r="R36" i="19"/>
  <c r="S36" i="19" s="1"/>
  <c r="W51" i="19"/>
  <c r="U39" i="19"/>
  <c r="R39" i="19"/>
  <c r="S39" i="19" s="1"/>
  <c r="X51" i="19"/>
  <c r="X57" i="19"/>
  <c r="W57" i="19"/>
  <c r="G3" i="19"/>
  <c r="H67" i="19" s="1"/>
  <c r="D6" i="20"/>
  <c r="D5" i="20"/>
  <c r="D4" i="20"/>
  <c r="T55" i="19"/>
  <c r="H44" i="19" l="1"/>
  <c r="H65" i="19"/>
  <c r="H66" i="19"/>
  <c r="X41" i="19"/>
  <c r="X40" i="19"/>
  <c r="H25" i="19"/>
  <c r="H40" i="19"/>
  <c r="H43" i="19"/>
  <c r="H42" i="19"/>
  <c r="H41" i="19"/>
  <c r="H26" i="19"/>
  <c r="X27" i="19"/>
  <c r="H27" i="19"/>
  <c r="H24" i="19"/>
  <c r="X24" i="19"/>
  <c r="X25" i="19"/>
  <c r="H38" i="19"/>
  <c r="H37" i="19"/>
  <c r="H36" i="19"/>
  <c r="H39" i="19"/>
  <c r="X36" i="19"/>
  <c r="X37" i="19"/>
  <c r="X39" i="19"/>
  <c r="H51" i="19"/>
  <c r="X38" i="19"/>
  <c r="D4" i="19"/>
  <c r="H57" i="19"/>
  <c r="T64" i="19"/>
  <c r="P64" i="19"/>
  <c r="Q64" i="19" s="1"/>
  <c r="R64" i="19"/>
  <c r="S64" i="19" s="1"/>
  <c r="H64" i="19"/>
  <c r="U64" i="19"/>
  <c r="D7" i="20"/>
  <c r="P55" i="19"/>
  <c r="Q55" i="19" s="1"/>
  <c r="W55" i="19" s="1"/>
  <c r="P22" i="19"/>
  <c r="Q22" i="19" s="1"/>
  <c r="R22" i="19"/>
  <c r="S22" i="19" s="1"/>
  <c r="T22" i="19"/>
  <c r="U22" i="19"/>
  <c r="W22" i="19" l="1"/>
  <c r="X64" i="19"/>
  <c r="W64" i="19"/>
  <c r="T56" i="19"/>
  <c r="T54" i="19"/>
  <c r="R54" i="19"/>
  <c r="S54" i="19" s="1"/>
  <c r="T52" i="19"/>
  <c r="R52" i="19"/>
  <c r="S52" i="19" s="1"/>
  <c r="U55" i="19"/>
  <c r="R55" i="19"/>
  <c r="S55" i="19" s="1"/>
  <c r="X22" i="19"/>
  <c r="R35" i="19"/>
  <c r="S35" i="19" s="1"/>
  <c r="U35" i="19"/>
  <c r="T35" i="19"/>
  <c r="P35" i="19"/>
  <c r="Q35" i="19" s="1"/>
  <c r="P56" i="19"/>
  <c r="Q56" i="19" s="1"/>
  <c r="P54" i="19"/>
  <c r="Q54" i="19" s="1"/>
  <c r="T53" i="19"/>
  <c r="P52" i="19"/>
  <c r="Q52" i="19" s="1"/>
  <c r="R53" i="19"/>
  <c r="S53" i="19" s="1"/>
  <c r="U53" i="19"/>
  <c r="P53" i="19"/>
  <c r="Q53" i="19" s="1"/>
  <c r="W54" i="19" l="1"/>
  <c r="W52" i="19"/>
  <c r="W56" i="19"/>
  <c r="X55" i="19"/>
  <c r="W35" i="19"/>
  <c r="X35" i="19"/>
  <c r="U52" i="19"/>
  <c r="X52" i="19" s="1"/>
  <c r="W53" i="19"/>
  <c r="U54" i="19"/>
  <c r="X54" i="19" s="1"/>
  <c r="X53" i="19"/>
  <c r="U56" i="19"/>
  <c r="R56" i="19"/>
  <c r="S56" i="19" s="1"/>
  <c r="X56" i="19" l="1"/>
  <c r="B12" i="19" l="1"/>
  <c r="B13" i="19" s="1"/>
  <c r="B16" i="19"/>
  <c r="B18" i="19"/>
  <c r="B19" i="19"/>
  <c r="B31" i="19"/>
  <c r="B33" i="19"/>
  <c r="B34" i="19"/>
  <c r="B48" i="19"/>
  <c r="B50" i="19"/>
  <c r="B58" i="19"/>
  <c r="B59" i="19"/>
  <c r="B61" i="19"/>
  <c r="B62" i="19"/>
  <c r="B63" i="19"/>
  <c r="B68" i="19"/>
  <c r="B72" i="19"/>
  <c r="B73" i="19"/>
  <c r="B74" i="19"/>
  <c r="U696" i="19"/>
  <c r="T696" i="19"/>
  <c r="R696" i="19"/>
  <c r="S696" i="19" s="1"/>
  <c r="P696" i="19"/>
  <c r="Q696" i="19" s="1"/>
  <c r="U695" i="19"/>
  <c r="T695" i="19"/>
  <c r="R695" i="19"/>
  <c r="S695" i="19" s="1"/>
  <c r="P695" i="19"/>
  <c r="Q695" i="19" s="1"/>
  <c r="U694" i="19"/>
  <c r="T694" i="19"/>
  <c r="R694" i="19"/>
  <c r="S694" i="19" s="1"/>
  <c r="P694" i="19"/>
  <c r="Q694" i="19" s="1"/>
  <c r="U693" i="19"/>
  <c r="T693" i="19"/>
  <c r="R693" i="19"/>
  <c r="S693" i="19" s="1"/>
  <c r="P693" i="19"/>
  <c r="Q693" i="19" s="1"/>
  <c r="U692" i="19"/>
  <c r="T692" i="19"/>
  <c r="R692" i="19"/>
  <c r="S692" i="19" s="1"/>
  <c r="P692" i="19"/>
  <c r="Q692" i="19" s="1"/>
  <c r="U691" i="19"/>
  <c r="T691" i="19"/>
  <c r="R691" i="19"/>
  <c r="S691" i="19" s="1"/>
  <c r="P691" i="19"/>
  <c r="Q691" i="19" s="1"/>
  <c r="U690" i="19"/>
  <c r="T690" i="19"/>
  <c r="R690" i="19"/>
  <c r="S690" i="19" s="1"/>
  <c r="P690" i="19"/>
  <c r="Q690" i="19" s="1"/>
  <c r="U689" i="19"/>
  <c r="T689" i="19"/>
  <c r="R689" i="19"/>
  <c r="S689" i="19" s="1"/>
  <c r="P689" i="19"/>
  <c r="Q689" i="19" s="1"/>
  <c r="U688" i="19"/>
  <c r="T688" i="19"/>
  <c r="R688" i="19"/>
  <c r="S688" i="19" s="1"/>
  <c r="P688" i="19"/>
  <c r="Q688" i="19" s="1"/>
  <c r="U687" i="19"/>
  <c r="T687" i="19"/>
  <c r="R687" i="19"/>
  <c r="S687" i="19" s="1"/>
  <c r="P687" i="19"/>
  <c r="Q687" i="19" s="1"/>
  <c r="U686" i="19"/>
  <c r="T686" i="19"/>
  <c r="R686" i="19"/>
  <c r="S686" i="19" s="1"/>
  <c r="P686" i="19"/>
  <c r="Q686" i="19" s="1"/>
  <c r="U685" i="19"/>
  <c r="T685" i="19"/>
  <c r="R685" i="19"/>
  <c r="S685" i="19" s="1"/>
  <c r="P685" i="19"/>
  <c r="Q685" i="19" s="1"/>
  <c r="U684" i="19"/>
  <c r="T684" i="19"/>
  <c r="R684" i="19"/>
  <c r="S684" i="19" s="1"/>
  <c r="P684" i="19"/>
  <c r="Q684" i="19" s="1"/>
  <c r="U683" i="19"/>
  <c r="T683" i="19"/>
  <c r="R683" i="19"/>
  <c r="S683" i="19" s="1"/>
  <c r="P683" i="19"/>
  <c r="Q683" i="19" s="1"/>
  <c r="U682" i="19"/>
  <c r="T682" i="19"/>
  <c r="R682" i="19"/>
  <c r="S682" i="19" s="1"/>
  <c r="P682" i="19"/>
  <c r="Q682" i="19" s="1"/>
  <c r="U681" i="19"/>
  <c r="T681" i="19"/>
  <c r="R681" i="19"/>
  <c r="S681" i="19" s="1"/>
  <c r="P681" i="19"/>
  <c r="Q681" i="19" s="1"/>
  <c r="U680" i="19"/>
  <c r="T680" i="19"/>
  <c r="R680" i="19"/>
  <c r="S680" i="19" s="1"/>
  <c r="P680" i="19"/>
  <c r="Q680" i="19" s="1"/>
  <c r="U679" i="19"/>
  <c r="T679" i="19"/>
  <c r="R679" i="19"/>
  <c r="S679" i="19" s="1"/>
  <c r="P679" i="19"/>
  <c r="Q679" i="19" s="1"/>
  <c r="U678" i="19"/>
  <c r="T678" i="19"/>
  <c r="R678" i="19"/>
  <c r="S678" i="19" s="1"/>
  <c r="P678" i="19"/>
  <c r="Q678" i="19" s="1"/>
  <c r="U677" i="19"/>
  <c r="T677" i="19"/>
  <c r="R677" i="19"/>
  <c r="S677" i="19" s="1"/>
  <c r="P677" i="19"/>
  <c r="Q677" i="19" s="1"/>
  <c r="U676" i="19"/>
  <c r="T676" i="19"/>
  <c r="R676" i="19"/>
  <c r="S676" i="19" s="1"/>
  <c r="P676" i="19"/>
  <c r="Q676" i="19" s="1"/>
  <c r="U675" i="19"/>
  <c r="T675" i="19"/>
  <c r="R675" i="19"/>
  <c r="S675" i="19" s="1"/>
  <c r="P675" i="19"/>
  <c r="Q675" i="19" s="1"/>
  <c r="U674" i="19"/>
  <c r="T674" i="19"/>
  <c r="R674" i="19"/>
  <c r="S674" i="19" s="1"/>
  <c r="P674" i="19"/>
  <c r="Q674" i="19" s="1"/>
  <c r="U673" i="19"/>
  <c r="T673" i="19"/>
  <c r="R673" i="19"/>
  <c r="S673" i="19" s="1"/>
  <c r="P673" i="19"/>
  <c r="Q673" i="19" s="1"/>
  <c r="U672" i="19"/>
  <c r="T672" i="19"/>
  <c r="R672" i="19"/>
  <c r="S672" i="19" s="1"/>
  <c r="P672" i="19"/>
  <c r="Q672" i="19" s="1"/>
  <c r="U671" i="19"/>
  <c r="T671" i="19"/>
  <c r="R671" i="19"/>
  <c r="S671" i="19" s="1"/>
  <c r="P671" i="19"/>
  <c r="Q671" i="19" s="1"/>
  <c r="U670" i="19"/>
  <c r="T670" i="19"/>
  <c r="R670" i="19"/>
  <c r="S670" i="19" s="1"/>
  <c r="P670" i="19"/>
  <c r="Q670" i="19" s="1"/>
  <c r="U669" i="19"/>
  <c r="T669" i="19"/>
  <c r="R669" i="19"/>
  <c r="S669" i="19" s="1"/>
  <c r="P669" i="19"/>
  <c r="Q669" i="19" s="1"/>
  <c r="U668" i="19"/>
  <c r="T668" i="19"/>
  <c r="R668" i="19"/>
  <c r="S668" i="19" s="1"/>
  <c r="P668" i="19"/>
  <c r="Q668" i="19" s="1"/>
  <c r="U667" i="19"/>
  <c r="T667" i="19"/>
  <c r="R667" i="19"/>
  <c r="S667" i="19" s="1"/>
  <c r="P667" i="19"/>
  <c r="Q667" i="19" s="1"/>
  <c r="U666" i="19"/>
  <c r="T666" i="19"/>
  <c r="R666" i="19"/>
  <c r="S666" i="19" s="1"/>
  <c r="P666" i="19"/>
  <c r="Q666" i="19" s="1"/>
  <c r="U665" i="19"/>
  <c r="T665" i="19"/>
  <c r="R665" i="19"/>
  <c r="S665" i="19" s="1"/>
  <c r="P665" i="19"/>
  <c r="Q665" i="19" s="1"/>
  <c r="U664" i="19"/>
  <c r="T664" i="19"/>
  <c r="R664" i="19"/>
  <c r="S664" i="19" s="1"/>
  <c r="P664" i="19"/>
  <c r="Q664" i="19" s="1"/>
  <c r="U663" i="19"/>
  <c r="T663" i="19"/>
  <c r="R663" i="19"/>
  <c r="S663" i="19" s="1"/>
  <c r="P663" i="19"/>
  <c r="Q663" i="19" s="1"/>
  <c r="U662" i="19"/>
  <c r="T662" i="19"/>
  <c r="R662" i="19"/>
  <c r="S662" i="19" s="1"/>
  <c r="P662" i="19"/>
  <c r="Q662" i="19" s="1"/>
  <c r="U661" i="19"/>
  <c r="T661" i="19"/>
  <c r="R661" i="19"/>
  <c r="S661" i="19" s="1"/>
  <c r="P661" i="19"/>
  <c r="Q661" i="19" s="1"/>
  <c r="U660" i="19"/>
  <c r="T660" i="19"/>
  <c r="R660" i="19"/>
  <c r="S660" i="19" s="1"/>
  <c r="P660" i="19"/>
  <c r="Q660" i="19" s="1"/>
  <c r="U659" i="19"/>
  <c r="T659" i="19"/>
  <c r="R659" i="19"/>
  <c r="S659" i="19" s="1"/>
  <c r="P659" i="19"/>
  <c r="Q659" i="19" s="1"/>
  <c r="U658" i="19"/>
  <c r="T658" i="19"/>
  <c r="R658" i="19"/>
  <c r="S658" i="19" s="1"/>
  <c r="P658" i="19"/>
  <c r="Q658" i="19" s="1"/>
  <c r="U657" i="19"/>
  <c r="T657" i="19"/>
  <c r="R657" i="19"/>
  <c r="S657" i="19" s="1"/>
  <c r="P657" i="19"/>
  <c r="Q657" i="19" s="1"/>
  <c r="U656" i="19"/>
  <c r="T656" i="19"/>
  <c r="R656" i="19"/>
  <c r="S656" i="19" s="1"/>
  <c r="P656" i="19"/>
  <c r="Q656" i="19" s="1"/>
  <c r="U655" i="19"/>
  <c r="T655" i="19"/>
  <c r="R655" i="19"/>
  <c r="S655" i="19" s="1"/>
  <c r="P655" i="19"/>
  <c r="Q655" i="19" s="1"/>
  <c r="U654" i="19"/>
  <c r="T654" i="19"/>
  <c r="R654" i="19"/>
  <c r="S654" i="19" s="1"/>
  <c r="P654" i="19"/>
  <c r="Q654" i="19" s="1"/>
  <c r="U653" i="19"/>
  <c r="T653" i="19"/>
  <c r="R653" i="19"/>
  <c r="S653" i="19" s="1"/>
  <c r="P653" i="19"/>
  <c r="Q653" i="19" s="1"/>
  <c r="U652" i="19"/>
  <c r="T652" i="19"/>
  <c r="R652" i="19"/>
  <c r="S652" i="19" s="1"/>
  <c r="P652" i="19"/>
  <c r="Q652" i="19" s="1"/>
  <c r="U651" i="19"/>
  <c r="T651" i="19"/>
  <c r="R651" i="19"/>
  <c r="S651" i="19" s="1"/>
  <c r="P651" i="19"/>
  <c r="Q651" i="19" s="1"/>
  <c r="U650" i="19"/>
  <c r="T650" i="19"/>
  <c r="R650" i="19"/>
  <c r="S650" i="19" s="1"/>
  <c r="P650" i="19"/>
  <c r="Q650" i="19" s="1"/>
  <c r="U649" i="19"/>
  <c r="T649" i="19"/>
  <c r="R649" i="19"/>
  <c r="S649" i="19" s="1"/>
  <c r="P649" i="19"/>
  <c r="Q649" i="19" s="1"/>
  <c r="U648" i="19"/>
  <c r="T648" i="19"/>
  <c r="R648" i="19"/>
  <c r="S648" i="19" s="1"/>
  <c r="P648" i="19"/>
  <c r="Q648" i="19" s="1"/>
  <c r="U647" i="19"/>
  <c r="T647" i="19"/>
  <c r="R647" i="19"/>
  <c r="S647" i="19" s="1"/>
  <c r="P647" i="19"/>
  <c r="Q647" i="19" s="1"/>
  <c r="U646" i="19"/>
  <c r="T646" i="19"/>
  <c r="R646" i="19"/>
  <c r="S646" i="19" s="1"/>
  <c r="P646" i="19"/>
  <c r="Q646" i="19" s="1"/>
  <c r="U645" i="19"/>
  <c r="T645" i="19"/>
  <c r="R645" i="19"/>
  <c r="S645" i="19" s="1"/>
  <c r="P645" i="19"/>
  <c r="Q645" i="19" s="1"/>
  <c r="U644" i="19"/>
  <c r="T644" i="19"/>
  <c r="R644" i="19"/>
  <c r="S644" i="19" s="1"/>
  <c r="P644" i="19"/>
  <c r="Q644" i="19" s="1"/>
  <c r="U643" i="19"/>
  <c r="T643" i="19"/>
  <c r="R643" i="19"/>
  <c r="S643" i="19" s="1"/>
  <c r="P643" i="19"/>
  <c r="Q643" i="19" s="1"/>
  <c r="U642" i="19"/>
  <c r="T642" i="19"/>
  <c r="R642" i="19"/>
  <c r="S642" i="19" s="1"/>
  <c r="P642" i="19"/>
  <c r="Q642" i="19" s="1"/>
  <c r="U641" i="19"/>
  <c r="T641" i="19"/>
  <c r="R641" i="19"/>
  <c r="S641" i="19" s="1"/>
  <c r="P641" i="19"/>
  <c r="Q641" i="19" s="1"/>
  <c r="U640" i="19"/>
  <c r="T640" i="19"/>
  <c r="R640" i="19"/>
  <c r="S640" i="19" s="1"/>
  <c r="P640" i="19"/>
  <c r="Q640" i="19" s="1"/>
  <c r="U639" i="19"/>
  <c r="T639" i="19"/>
  <c r="R639" i="19"/>
  <c r="S639" i="19" s="1"/>
  <c r="P639" i="19"/>
  <c r="Q639" i="19" s="1"/>
  <c r="U638" i="19"/>
  <c r="T638" i="19"/>
  <c r="R638" i="19"/>
  <c r="S638" i="19" s="1"/>
  <c r="P638" i="19"/>
  <c r="Q638" i="19" s="1"/>
  <c r="U637" i="19"/>
  <c r="T637" i="19"/>
  <c r="R637" i="19"/>
  <c r="S637" i="19" s="1"/>
  <c r="P637" i="19"/>
  <c r="Q637" i="19" s="1"/>
  <c r="U636" i="19"/>
  <c r="T636" i="19"/>
  <c r="R636" i="19"/>
  <c r="S636" i="19" s="1"/>
  <c r="P636" i="19"/>
  <c r="Q636" i="19" s="1"/>
  <c r="U635" i="19"/>
  <c r="T635" i="19"/>
  <c r="R635" i="19"/>
  <c r="S635" i="19" s="1"/>
  <c r="P635" i="19"/>
  <c r="Q635" i="19" s="1"/>
  <c r="U634" i="19"/>
  <c r="T634" i="19"/>
  <c r="R634" i="19"/>
  <c r="S634" i="19" s="1"/>
  <c r="P634" i="19"/>
  <c r="Q634" i="19" s="1"/>
  <c r="U633" i="19"/>
  <c r="T633" i="19"/>
  <c r="R633" i="19"/>
  <c r="S633" i="19" s="1"/>
  <c r="P633" i="19"/>
  <c r="Q633" i="19" s="1"/>
  <c r="U632" i="19"/>
  <c r="T632" i="19"/>
  <c r="R632" i="19"/>
  <c r="S632" i="19" s="1"/>
  <c r="P632" i="19"/>
  <c r="Q632" i="19" s="1"/>
  <c r="U631" i="19"/>
  <c r="T631" i="19"/>
  <c r="R631" i="19"/>
  <c r="S631" i="19" s="1"/>
  <c r="P631" i="19"/>
  <c r="Q631" i="19" s="1"/>
  <c r="U630" i="19"/>
  <c r="T630" i="19"/>
  <c r="R630" i="19"/>
  <c r="S630" i="19" s="1"/>
  <c r="P630" i="19"/>
  <c r="Q630" i="19" s="1"/>
  <c r="U629" i="19"/>
  <c r="T629" i="19"/>
  <c r="R629" i="19"/>
  <c r="S629" i="19" s="1"/>
  <c r="P629" i="19"/>
  <c r="Q629" i="19" s="1"/>
  <c r="U628" i="19"/>
  <c r="T628" i="19"/>
  <c r="R628" i="19"/>
  <c r="S628" i="19" s="1"/>
  <c r="P628" i="19"/>
  <c r="Q628" i="19" s="1"/>
  <c r="U627" i="19"/>
  <c r="T627" i="19"/>
  <c r="R627" i="19"/>
  <c r="S627" i="19" s="1"/>
  <c r="P627" i="19"/>
  <c r="Q627" i="19" s="1"/>
  <c r="U626" i="19"/>
  <c r="T626" i="19"/>
  <c r="R626" i="19"/>
  <c r="S626" i="19" s="1"/>
  <c r="P626" i="19"/>
  <c r="Q626" i="19" s="1"/>
  <c r="U625" i="19"/>
  <c r="T625" i="19"/>
  <c r="R625" i="19"/>
  <c r="S625" i="19" s="1"/>
  <c r="P625" i="19"/>
  <c r="Q625" i="19" s="1"/>
  <c r="U624" i="19"/>
  <c r="T624" i="19"/>
  <c r="R624" i="19"/>
  <c r="S624" i="19" s="1"/>
  <c r="P624" i="19"/>
  <c r="Q624" i="19" s="1"/>
  <c r="U623" i="19"/>
  <c r="T623" i="19"/>
  <c r="R623" i="19"/>
  <c r="S623" i="19" s="1"/>
  <c r="P623" i="19"/>
  <c r="Q623" i="19" s="1"/>
  <c r="U622" i="19"/>
  <c r="T622" i="19"/>
  <c r="R622" i="19"/>
  <c r="S622" i="19" s="1"/>
  <c r="P622" i="19"/>
  <c r="Q622" i="19" s="1"/>
  <c r="U621" i="19"/>
  <c r="T621" i="19"/>
  <c r="R621" i="19"/>
  <c r="S621" i="19" s="1"/>
  <c r="P621" i="19"/>
  <c r="Q621" i="19" s="1"/>
  <c r="U620" i="19"/>
  <c r="T620" i="19"/>
  <c r="R620" i="19"/>
  <c r="S620" i="19" s="1"/>
  <c r="P620" i="19"/>
  <c r="Q620" i="19" s="1"/>
  <c r="U619" i="19"/>
  <c r="T619" i="19"/>
  <c r="R619" i="19"/>
  <c r="S619" i="19" s="1"/>
  <c r="P619" i="19"/>
  <c r="Q619" i="19" s="1"/>
  <c r="U618" i="19"/>
  <c r="T618" i="19"/>
  <c r="R618" i="19"/>
  <c r="S618" i="19" s="1"/>
  <c r="P618" i="19"/>
  <c r="Q618" i="19" s="1"/>
  <c r="U617" i="19"/>
  <c r="T617" i="19"/>
  <c r="R617" i="19"/>
  <c r="S617" i="19" s="1"/>
  <c r="P617" i="19"/>
  <c r="Q617" i="19" s="1"/>
  <c r="U616" i="19"/>
  <c r="T616" i="19"/>
  <c r="R616" i="19"/>
  <c r="S616" i="19" s="1"/>
  <c r="P616" i="19"/>
  <c r="Q616" i="19" s="1"/>
  <c r="U615" i="19"/>
  <c r="T615" i="19"/>
  <c r="R615" i="19"/>
  <c r="S615" i="19" s="1"/>
  <c r="P615" i="19"/>
  <c r="Q615" i="19" s="1"/>
  <c r="U614" i="19"/>
  <c r="T614" i="19"/>
  <c r="R614" i="19"/>
  <c r="S614" i="19" s="1"/>
  <c r="P614" i="19"/>
  <c r="Q614" i="19" s="1"/>
  <c r="U613" i="19"/>
  <c r="T613" i="19"/>
  <c r="R613" i="19"/>
  <c r="S613" i="19" s="1"/>
  <c r="P613" i="19"/>
  <c r="Q613" i="19" s="1"/>
  <c r="U612" i="19"/>
  <c r="T612" i="19"/>
  <c r="R612" i="19"/>
  <c r="S612" i="19" s="1"/>
  <c r="P612" i="19"/>
  <c r="Q612" i="19" s="1"/>
  <c r="U611" i="19"/>
  <c r="T611" i="19"/>
  <c r="R611" i="19"/>
  <c r="S611" i="19" s="1"/>
  <c r="P611" i="19"/>
  <c r="Q611" i="19" s="1"/>
  <c r="U610" i="19"/>
  <c r="T610" i="19"/>
  <c r="R610" i="19"/>
  <c r="S610" i="19" s="1"/>
  <c r="P610" i="19"/>
  <c r="Q610" i="19" s="1"/>
  <c r="U609" i="19"/>
  <c r="T609" i="19"/>
  <c r="R609" i="19"/>
  <c r="S609" i="19" s="1"/>
  <c r="P609" i="19"/>
  <c r="Q609" i="19" s="1"/>
  <c r="U608" i="19"/>
  <c r="T608" i="19"/>
  <c r="R608" i="19"/>
  <c r="S608" i="19" s="1"/>
  <c r="P608" i="19"/>
  <c r="Q608" i="19" s="1"/>
  <c r="U607" i="19"/>
  <c r="T607" i="19"/>
  <c r="R607" i="19"/>
  <c r="S607" i="19" s="1"/>
  <c r="P607" i="19"/>
  <c r="Q607" i="19" s="1"/>
  <c r="U606" i="19"/>
  <c r="T606" i="19"/>
  <c r="R606" i="19"/>
  <c r="S606" i="19" s="1"/>
  <c r="P606" i="19"/>
  <c r="Q606" i="19" s="1"/>
  <c r="U605" i="19"/>
  <c r="T605" i="19"/>
  <c r="R605" i="19"/>
  <c r="S605" i="19" s="1"/>
  <c r="P605" i="19"/>
  <c r="Q605" i="19" s="1"/>
  <c r="U604" i="19"/>
  <c r="T604" i="19"/>
  <c r="R604" i="19"/>
  <c r="S604" i="19" s="1"/>
  <c r="P604" i="19"/>
  <c r="Q604" i="19" s="1"/>
  <c r="U603" i="19"/>
  <c r="T603" i="19"/>
  <c r="R603" i="19"/>
  <c r="S603" i="19" s="1"/>
  <c r="P603" i="19"/>
  <c r="Q603" i="19" s="1"/>
  <c r="U602" i="19"/>
  <c r="T602" i="19"/>
  <c r="R602" i="19"/>
  <c r="S602" i="19" s="1"/>
  <c r="P602" i="19"/>
  <c r="Q602" i="19" s="1"/>
  <c r="U601" i="19"/>
  <c r="T601" i="19"/>
  <c r="R601" i="19"/>
  <c r="S601" i="19" s="1"/>
  <c r="P601" i="19"/>
  <c r="Q601" i="19" s="1"/>
  <c r="U600" i="19"/>
  <c r="T600" i="19"/>
  <c r="R600" i="19"/>
  <c r="S600" i="19" s="1"/>
  <c r="P600" i="19"/>
  <c r="Q600" i="19" s="1"/>
  <c r="U599" i="19"/>
  <c r="T599" i="19"/>
  <c r="R599" i="19"/>
  <c r="S599" i="19" s="1"/>
  <c r="P599" i="19"/>
  <c r="Q599" i="19" s="1"/>
  <c r="U598" i="19"/>
  <c r="T598" i="19"/>
  <c r="R598" i="19"/>
  <c r="S598" i="19" s="1"/>
  <c r="P598" i="19"/>
  <c r="Q598" i="19" s="1"/>
  <c r="U597" i="19"/>
  <c r="T597" i="19"/>
  <c r="R597" i="19"/>
  <c r="S597" i="19" s="1"/>
  <c r="P597" i="19"/>
  <c r="Q597" i="19" s="1"/>
  <c r="U596" i="19"/>
  <c r="T596" i="19"/>
  <c r="R596" i="19"/>
  <c r="S596" i="19" s="1"/>
  <c r="P596" i="19"/>
  <c r="Q596" i="19" s="1"/>
  <c r="U595" i="19"/>
  <c r="T595" i="19"/>
  <c r="R595" i="19"/>
  <c r="S595" i="19" s="1"/>
  <c r="P595" i="19"/>
  <c r="Q595" i="19" s="1"/>
  <c r="U594" i="19"/>
  <c r="T594" i="19"/>
  <c r="R594" i="19"/>
  <c r="S594" i="19" s="1"/>
  <c r="P594" i="19"/>
  <c r="Q594" i="19" s="1"/>
  <c r="U593" i="19"/>
  <c r="T593" i="19"/>
  <c r="R593" i="19"/>
  <c r="S593" i="19" s="1"/>
  <c r="P593" i="19"/>
  <c r="Q593" i="19" s="1"/>
  <c r="U592" i="19"/>
  <c r="T592" i="19"/>
  <c r="R592" i="19"/>
  <c r="S592" i="19" s="1"/>
  <c r="P592" i="19"/>
  <c r="Q592" i="19" s="1"/>
  <c r="U591" i="19"/>
  <c r="T591" i="19"/>
  <c r="R591" i="19"/>
  <c r="S591" i="19" s="1"/>
  <c r="P591" i="19"/>
  <c r="Q591" i="19" s="1"/>
  <c r="U590" i="19"/>
  <c r="T590" i="19"/>
  <c r="R590" i="19"/>
  <c r="S590" i="19" s="1"/>
  <c r="P590" i="19"/>
  <c r="Q590" i="19" s="1"/>
  <c r="U589" i="19"/>
  <c r="T589" i="19"/>
  <c r="R589" i="19"/>
  <c r="S589" i="19" s="1"/>
  <c r="P589" i="19"/>
  <c r="Q589" i="19" s="1"/>
  <c r="U588" i="19"/>
  <c r="T588" i="19"/>
  <c r="R588" i="19"/>
  <c r="S588" i="19" s="1"/>
  <c r="P588" i="19"/>
  <c r="Q588" i="19" s="1"/>
  <c r="U587" i="19"/>
  <c r="T587" i="19"/>
  <c r="R587" i="19"/>
  <c r="S587" i="19" s="1"/>
  <c r="P587" i="19"/>
  <c r="Q587" i="19" s="1"/>
  <c r="U586" i="19"/>
  <c r="T586" i="19"/>
  <c r="R586" i="19"/>
  <c r="S586" i="19" s="1"/>
  <c r="P586" i="19"/>
  <c r="Q586" i="19" s="1"/>
  <c r="U585" i="19"/>
  <c r="T585" i="19"/>
  <c r="R585" i="19"/>
  <c r="S585" i="19" s="1"/>
  <c r="P585" i="19"/>
  <c r="Q585" i="19" s="1"/>
  <c r="U584" i="19"/>
  <c r="T584" i="19"/>
  <c r="R584" i="19"/>
  <c r="S584" i="19" s="1"/>
  <c r="P584" i="19"/>
  <c r="Q584" i="19" s="1"/>
  <c r="U583" i="19"/>
  <c r="T583" i="19"/>
  <c r="R583" i="19"/>
  <c r="S583" i="19" s="1"/>
  <c r="P583" i="19"/>
  <c r="Q583" i="19" s="1"/>
  <c r="U582" i="19"/>
  <c r="T582" i="19"/>
  <c r="R582" i="19"/>
  <c r="S582" i="19" s="1"/>
  <c r="P582" i="19"/>
  <c r="Q582" i="19" s="1"/>
  <c r="U581" i="19"/>
  <c r="T581" i="19"/>
  <c r="R581" i="19"/>
  <c r="S581" i="19" s="1"/>
  <c r="P581" i="19"/>
  <c r="Q581" i="19" s="1"/>
  <c r="U580" i="19"/>
  <c r="T580" i="19"/>
  <c r="R580" i="19"/>
  <c r="S580" i="19" s="1"/>
  <c r="P580" i="19"/>
  <c r="Q580" i="19" s="1"/>
  <c r="U579" i="19"/>
  <c r="T579" i="19"/>
  <c r="R579" i="19"/>
  <c r="S579" i="19" s="1"/>
  <c r="P579" i="19"/>
  <c r="Q579" i="19" s="1"/>
  <c r="U578" i="19"/>
  <c r="T578" i="19"/>
  <c r="R578" i="19"/>
  <c r="S578" i="19" s="1"/>
  <c r="P578" i="19"/>
  <c r="Q578" i="19" s="1"/>
  <c r="U577" i="19"/>
  <c r="T577" i="19"/>
  <c r="R577" i="19"/>
  <c r="S577" i="19" s="1"/>
  <c r="P577" i="19"/>
  <c r="Q577" i="19" s="1"/>
  <c r="U576" i="19"/>
  <c r="T576" i="19"/>
  <c r="R576" i="19"/>
  <c r="S576" i="19" s="1"/>
  <c r="P576" i="19"/>
  <c r="Q576" i="19" s="1"/>
  <c r="U575" i="19"/>
  <c r="T575" i="19"/>
  <c r="R575" i="19"/>
  <c r="S575" i="19" s="1"/>
  <c r="P575" i="19"/>
  <c r="Q575" i="19" s="1"/>
  <c r="U574" i="19"/>
  <c r="T574" i="19"/>
  <c r="R574" i="19"/>
  <c r="S574" i="19" s="1"/>
  <c r="P574" i="19"/>
  <c r="Q574" i="19" s="1"/>
  <c r="U573" i="19"/>
  <c r="T573" i="19"/>
  <c r="R573" i="19"/>
  <c r="S573" i="19" s="1"/>
  <c r="P573" i="19"/>
  <c r="Q573" i="19" s="1"/>
  <c r="U572" i="19"/>
  <c r="T572" i="19"/>
  <c r="R572" i="19"/>
  <c r="S572" i="19" s="1"/>
  <c r="P572" i="19"/>
  <c r="Q572" i="19" s="1"/>
  <c r="U571" i="19"/>
  <c r="T571" i="19"/>
  <c r="R571" i="19"/>
  <c r="S571" i="19" s="1"/>
  <c r="P571" i="19"/>
  <c r="Q571" i="19" s="1"/>
  <c r="U570" i="19"/>
  <c r="T570" i="19"/>
  <c r="R570" i="19"/>
  <c r="S570" i="19" s="1"/>
  <c r="P570" i="19"/>
  <c r="Q570" i="19" s="1"/>
  <c r="U569" i="19"/>
  <c r="T569" i="19"/>
  <c r="R569" i="19"/>
  <c r="S569" i="19" s="1"/>
  <c r="P569" i="19"/>
  <c r="Q569" i="19" s="1"/>
  <c r="U568" i="19"/>
  <c r="T568" i="19"/>
  <c r="R568" i="19"/>
  <c r="S568" i="19" s="1"/>
  <c r="P568" i="19"/>
  <c r="Q568" i="19" s="1"/>
  <c r="U567" i="19"/>
  <c r="T567" i="19"/>
  <c r="R567" i="19"/>
  <c r="S567" i="19" s="1"/>
  <c r="P567" i="19"/>
  <c r="Q567" i="19" s="1"/>
  <c r="U566" i="19"/>
  <c r="T566" i="19"/>
  <c r="R566" i="19"/>
  <c r="S566" i="19" s="1"/>
  <c r="P566" i="19"/>
  <c r="Q566" i="19" s="1"/>
  <c r="U565" i="19"/>
  <c r="T565" i="19"/>
  <c r="R565" i="19"/>
  <c r="S565" i="19" s="1"/>
  <c r="P565" i="19"/>
  <c r="Q565" i="19" s="1"/>
  <c r="U564" i="19"/>
  <c r="T564" i="19"/>
  <c r="R564" i="19"/>
  <c r="S564" i="19" s="1"/>
  <c r="P564" i="19"/>
  <c r="Q564" i="19" s="1"/>
  <c r="U563" i="19"/>
  <c r="T563" i="19"/>
  <c r="R563" i="19"/>
  <c r="S563" i="19" s="1"/>
  <c r="P563" i="19"/>
  <c r="Q563" i="19" s="1"/>
  <c r="U562" i="19"/>
  <c r="T562" i="19"/>
  <c r="R562" i="19"/>
  <c r="S562" i="19" s="1"/>
  <c r="P562" i="19"/>
  <c r="Q562" i="19" s="1"/>
  <c r="U561" i="19"/>
  <c r="T561" i="19"/>
  <c r="R561" i="19"/>
  <c r="S561" i="19" s="1"/>
  <c r="P561" i="19"/>
  <c r="Q561" i="19" s="1"/>
  <c r="U560" i="19"/>
  <c r="T560" i="19"/>
  <c r="R560" i="19"/>
  <c r="S560" i="19" s="1"/>
  <c r="P560" i="19"/>
  <c r="Q560" i="19" s="1"/>
  <c r="U559" i="19"/>
  <c r="T559" i="19"/>
  <c r="R559" i="19"/>
  <c r="S559" i="19" s="1"/>
  <c r="P559" i="19"/>
  <c r="Q559" i="19" s="1"/>
  <c r="U558" i="19"/>
  <c r="T558" i="19"/>
  <c r="R558" i="19"/>
  <c r="S558" i="19" s="1"/>
  <c r="P558" i="19"/>
  <c r="Q558" i="19" s="1"/>
  <c r="U557" i="19"/>
  <c r="T557" i="19"/>
  <c r="R557" i="19"/>
  <c r="S557" i="19" s="1"/>
  <c r="P557" i="19"/>
  <c r="Q557" i="19" s="1"/>
  <c r="U556" i="19"/>
  <c r="T556" i="19"/>
  <c r="R556" i="19"/>
  <c r="S556" i="19" s="1"/>
  <c r="P556" i="19"/>
  <c r="Q556" i="19" s="1"/>
  <c r="U555" i="19"/>
  <c r="T555" i="19"/>
  <c r="R555" i="19"/>
  <c r="S555" i="19" s="1"/>
  <c r="P555" i="19"/>
  <c r="Q555" i="19" s="1"/>
  <c r="U554" i="19"/>
  <c r="T554" i="19"/>
  <c r="R554" i="19"/>
  <c r="S554" i="19" s="1"/>
  <c r="P554" i="19"/>
  <c r="Q554" i="19" s="1"/>
  <c r="U553" i="19"/>
  <c r="T553" i="19"/>
  <c r="R553" i="19"/>
  <c r="S553" i="19" s="1"/>
  <c r="P553" i="19"/>
  <c r="Q553" i="19" s="1"/>
  <c r="U552" i="19"/>
  <c r="T552" i="19"/>
  <c r="R552" i="19"/>
  <c r="S552" i="19" s="1"/>
  <c r="P552" i="19"/>
  <c r="Q552" i="19" s="1"/>
  <c r="U551" i="19"/>
  <c r="T551" i="19"/>
  <c r="R551" i="19"/>
  <c r="S551" i="19" s="1"/>
  <c r="P551" i="19"/>
  <c r="Q551" i="19" s="1"/>
  <c r="U550" i="19"/>
  <c r="T550" i="19"/>
  <c r="R550" i="19"/>
  <c r="S550" i="19" s="1"/>
  <c r="P550" i="19"/>
  <c r="Q550" i="19" s="1"/>
  <c r="U549" i="19"/>
  <c r="T549" i="19"/>
  <c r="R549" i="19"/>
  <c r="S549" i="19" s="1"/>
  <c r="P549" i="19"/>
  <c r="Q549" i="19" s="1"/>
  <c r="U548" i="19"/>
  <c r="T548" i="19"/>
  <c r="R548" i="19"/>
  <c r="S548" i="19" s="1"/>
  <c r="P548" i="19"/>
  <c r="Q548" i="19" s="1"/>
  <c r="U547" i="19"/>
  <c r="T547" i="19"/>
  <c r="R547" i="19"/>
  <c r="S547" i="19" s="1"/>
  <c r="P547" i="19"/>
  <c r="Q547" i="19" s="1"/>
  <c r="U546" i="19"/>
  <c r="T546" i="19"/>
  <c r="R546" i="19"/>
  <c r="S546" i="19" s="1"/>
  <c r="P546" i="19"/>
  <c r="Q546" i="19" s="1"/>
  <c r="U545" i="19"/>
  <c r="T545" i="19"/>
  <c r="R545" i="19"/>
  <c r="S545" i="19" s="1"/>
  <c r="P545" i="19"/>
  <c r="Q545" i="19" s="1"/>
  <c r="U544" i="19"/>
  <c r="T544" i="19"/>
  <c r="R544" i="19"/>
  <c r="S544" i="19" s="1"/>
  <c r="P544" i="19"/>
  <c r="Q544" i="19" s="1"/>
  <c r="U543" i="19"/>
  <c r="T543" i="19"/>
  <c r="R543" i="19"/>
  <c r="S543" i="19" s="1"/>
  <c r="P543" i="19"/>
  <c r="Q543" i="19" s="1"/>
  <c r="U542" i="19"/>
  <c r="T542" i="19"/>
  <c r="R542" i="19"/>
  <c r="S542" i="19" s="1"/>
  <c r="P542" i="19"/>
  <c r="Q542" i="19" s="1"/>
  <c r="U541" i="19"/>
  <c r="T541" i="19"/>
  <c r="R541" i="19"/>
  <c r="S541" i="19" s="1"/>
  <c r="P541" i="19"/>
  <c r="Q541" i="19" s="1"/>
  <c r="U540" i="19"/>
  <c r="T540" i="19"/>
  <c r="R540" i="19"/>
  <c r="S540" i="19" s="1"/>
  <c r="P540" i="19"/>
  <c r="Q540" i="19" s="1"/>
  <c r="U539" i="19"/>
  <c r="T539" i="19"/>
  <c r="R539" i="19"/>
  <c r="S539" i="19" s="1"/>
  <c r="P539" i="19"/>
  <c r="Q539" i="19" s="1"/>
  <c r="U538" i="19"/>
  <c r="T538" i="19"/>
  <c r="R538" i="19"/>
  <c r="S538" i="19" s="1"/>
  <c r="P538" i="19"/>
  <c r="Q538" i="19" s="1"/>
  <c r="U537" i="19"/>
  <c r="T537" i="19"/>
  <c r="R537" i="19"/>
  <c r="S537" i="19" s="1"/>
  <c r="P537" i="19"/>
  <c r="Q537" i="19" s="1"/>
  <c r="U536" i="19"/>
  <c r="T536" i="19"/>
  <c r="R536" i="19"/>
  <c r="S536" i="19" s="1"/>
  <c r="P536" i="19"/>
  <c r="Q536" i="19" s="1"/>
  <c r="U535" i="19"/>
  <c r="T535" i="19"/>
  <c r="R535" i="19"/>
  <c r="S535" i="19" s="1"/>
  <c r="P535" i="19"/>
  <c r="Q535" i="19" s="1"/>
  <c r="U534" i="19"/>
  <c r="T534" i="19"/>
  <c r="R534" i="19"/>
  <c r="S534" i="19" s="1"/>
  <c r="P534" i="19"/>
  <c r="Q534" i="19" s="1"/>
  <c r="U533" i="19"/>
  <c r="T533" i="19"/>
  <c r="R533" i="19"/>
  <c r="S533" i="19" s="1"/>
  <c r="P533" i="19"/>
  <c r="Q533" i="19" s="1"/>
  <c r="U532" i="19"/>
  <c r="T532" i="19"/>
  <c r="R532" i="19"/>
  <c r="S532" i="19" s="1"/>
  <c r="P532" i="19"/>
  <c r="Q532" i="19" s="1"/>
  <c r="U531" i="19"/>
  <c r="T531" i="19"/>
  <c r="R531" i="19"/>
  <c r="S531" i="19" s="1"/>
  <c r="P531" i="19"/>
  <c r="Q531" i="19" s="1"/>
  <c r="U530" i="19"/>
  <c r="T530" i="19"/>
  <c r="R530" i="19"/>
  <c r="S530" i="19" s="1"/>
  <c r="P530" i="19"/>
  <c r="Q530" i="19" s="1"/>
  <c r="U529" i="19"/>
  <c r="T529" i="19"/>
  <c r="R529" i="19"/>
  <c r="S529" i="19" s="1"/>
  <c r="P529" i="19"/>
  <c r="Q529" i="19" s="1"/>
  <c r="U528" i="19"/>
  <c r="T528" i="19"/>
  <c r="R528" i="19"/>
  <c r="S528" i="19" s="1"/>
  <c r="P528" i="19"/>
  <c r="Q528" i="19" s="1"/>
  <c r="U527" i="19"/>
  <c r="T527" i="19"/>
  <c r="R527" i="19"/>
  <c r="S527" i="19" s="1"/>
  <c r="P527" i="19"/>
  <c r="Q527" i="19" s="1"/>
  <c r="U526" i="19"/>
  <c r="T526" i="19"/>
  <c r="R526" i="19"/>
  <c r="S526" i="19" s="1"/>
  <c r="P526" i="19"/>
  <c r="Q526" i="19" s="1"/>
  <c r="U525" i="19"/>
  <c r="T525" i="19"/>
  <c r="R525" i="19"/>
  <c r="S525" i="19" s="1"/>
  <c r="P525" i="19"/>
  <c r="Q525" i="19" s="1"/>
  <c r="U524" i="19"/>
  <c r="T524" i="19"/>
  <c r="R524" i="19"/>
  <c r="S524" i="19" s="1"/>
  <c r="P524" i="19"/>
  <c r="Q524" i="19" s="1"/>
  <c r="U523" i="19"/>
  <c r="T523" i="19"/>
  <c r="R523" i="19"/>
  <c r="S523" i="19" s="1"/>
  <c r="P523" i="19"/>
  <c r="Q523" i="19" s="1"/>
  <c r="U522" i="19"/>
  <c r="T522" i="19"/>
  <c r="R522" i="19"/>
  <c r="S522" i="19" s="1"/>
  <c r="P522" i="19"/>
  <c r="Q522" i="19" s="1"/>
  <c r="U521" i="19"/>
  <c r="T521" i="19"/>
  <c r="R521" i="19"/>
  <c r="S521" i="19" s="1"/>
  <c r="P521" i="19"/>
  <c r="Q521" i="19" s="1"/>
  <c r="U520" i="19"/>
  <c r="T520" i="19"/>
  <c r="R520" i="19"/>
  <c r="S520" i="19" s="1"/>
  <c r="P520" i="19"/>
  <c r="Q520" i="19" s="1"/>
  <c r="U519" i="19"/>
  <c r="T519" i="19"/>
  <c r="R519" i="19"/>
  <c r="S519" i="19" s="1"/>
  <c r="P519" i="19"/>
  <c r="Q519" i="19" s="1"/>
  <c r="U518" i="19"/>
  <c r="T518" i="19"/>
  <c r="R518" i="19"/>
  <c r="S518" i="19" s="1"/>
  <c r="P518" i="19"/>
  <c r="Q518" i="19" s="1"/>
  <c r="U517" i="19"/>
  <c r="T517" i="19"/>
  <c r="R517" i="19"/>
  <c r="S517" i="19" s="1"/>
  <c r="P517" i="19"/>
  <c r="Q517" i="19" s="1"/>
  <c r="U516" i="19"/>
  <c r="T516" i="19"/>
  <c r="R516" i="19"/>
  <c r="S516" i="19" s="1"/>
  <c r="P516" i="19"/>
  <c r="Q516" i="19" s="1"/>
  <c r="U515" i="19"/>
  <c r="T515" i="19"/>
  <c r="R515" i="19"/>
  <c r="S515" i="19" s="1"/>
  <c r="P515" i="19"/>
  <c r="Q515" i="19" s="1"/>
  <c r="U514" i="19"/>
  <c r="T514" i="19"/>
  <c r="R514" i="19"/>
  <c r="S514" i="19" s="1"/>
  <c r="P514" i="19"/>
  <c r="Q514" i="19" s="1"/>
  <c r="U513" i="19"/>
  <c r="T513" i="19"/>
  <c r="R513" i="19"/>
  <c r="S513" i="19" s="1"/>
  <c r="P513" i="19"/>
  <c r="Q513" i="19" s="1"/>
  <c r="U512" i="19"/>
  <c r="T512" i="19"/>
  <c r="R512" i="19"/>
  <c r="S512" i="19" s="1"/>
  <c r="P512" i="19"/>
  <c r="Q512" i="19" s="1"/>
  <c r="U511" i="19"/>
  <c r="T511" i="19"/>
  <c r="R511" i="19"/>
  <c r="S511" i="19" s="1"/>
  <c r="P511" i="19"/>
  <c r="Q511" i="19" s="1"/>
  <c r="U510" i="19"/>
  <c r="T510" i="19"/>
  <c r="R510" i="19"/>
  <c r="S510" i="19" s="1"/>
  <c r="P510" i="19"/>
  <c r="Q510" i="19" s="1"/>
  <c r="U509" i="19"/>
  <c r="T509" i="19"/>
  <c r="R509" i="19"/>
  <c r="S509" i="19" s="1"/>
  <c r="P509" i="19"/>
  <c r="Q509" i="19" s="1"/>
  <c r="U508" i="19"/>
  <c r="T508" i="19"/>
  <c r="R508" i="19"/>
  <c r="S508" i="19" s="1"/>
  <c r="P508" i="19"/>
  <c r="Q508" i="19" s="1"/>
  <c r="U507" i="19"/>
  <c r="T507" i="19"/>
  <c r="R507" i="19"/>
  <c r="S507" i="19" s="1"/>
  <c r="P507" i="19"/>
  <c r="Q507" i="19" s="1"/>
  <c r="U506" i="19"/>
  <c r="T506" i="19"/>
  <c r="R506" i="19"/>
  <c r="S506" i="19" s="1"/>
  <c r="P506" i="19"/>
  <c r="Q506" i="19" s="1"/>
  <c r="U505" i="19"/>
  <c r="T505" i="19"/>
  <c r="R505" i="19"/>
  <c r="S505" i="19" s="1"/>
  <c r="P505" i="19"/>
  <c r="Q505" i="19" s="1"/>
  <c r="U504" i="19"/>
  <c r="T504" i="19"/>
  <c r="R504" i="19"/>
  <c r="S504" i="19" s="1"/>
  <c r="P504" i="19"/>
  <c r="Q504" i="19" s="1"/>
  <c r="U503" i="19"/>
  <c r="T503" i="19"/>
  <c r="R503" i="19"/>
  <c r="S503" i="19" s="1"/>
  <c r="P503" i="19"/>
  <c r="Q503" i="19" s="1"/>
  <c r="U502" i="19"/>
  <c r="T502" i="19"/>
  <c r="R502" i="19"/>
  <c r="S502" i="19" s="1"/>
  <c r="P502" i="19"/>
  <c r="Q502" i="19" s="1"/>
  <c r="U501" i="19"/>
  <c r="T501" i="19"/>
  <c r="R501" i="19"/>
  <c r="S501" i="19" s="1"/>
  <c r="P501" i="19"/>
  <c r="Q501" i="19" s="1"/>
  <c r="U500" i="19"/>
  <c r="T500" i="19"/>
  <c r="R500" i="19"/>
  <c r="S500" i="19" s="1"/>
  <c r="P500" i="19"/>
  <c r="Q500" i="19" s="1"/>
  <c r="U499" i="19"/>
  <c r="T499" i="19"/>
  <c r="R499" i="19"/>
  <c r="S499" i="19" s="1"/>
  <c r="P499" i="19"/>
  <c r="Q499" i="19" s="1"/>
  <c r="U498" i="19"/>
  <c r="T498" i="19"/>
  <c r="R498" i="19"/>
  <c r="S498" i="19" s="1"/>
  <c r="P498" i="19"/>
  <c r="Q498" i="19" s="1"/>
  <c r="U497" i="19"/>
  <c r="T497" i="19"/>
  <c r="R497" i="19"/>
  <c r="S497" i="19" s="1"/>
  <c r="P497" i="19"/>
  <c r="Q497" i="19" s="1"/>
  <c r="U496" i="19"/>
  <c r="T496" i="19"/>
  <c r="R496" i="19"/>
  <c r="S496" i="19" s="1"/>
  <c r="P496" i="19"/>
  <c r="Q496" i="19" s="1"/>
  <c r="U495" i="19"/>
  <c r="T495" i="19"/>
  <c r="R495" i="19"/>
  <c r="S495" i="19" s="1"/>
  <c r="P495" i="19"/>
  <c r="Q495" i="19" s="1"/>
  <c r="U494" i="19"/>
  <c r="T494" i="19"/>
  <c r="R494" i="19"/>
  <c r="S494" i="19" s="1"/>
  <c r="P494" i="19"/>
  <c r="Q494" i="19" s="1"/>
  <c r="U493" i="19"/>
  <c r="T493" i="19"/>
  <c r="R493" i="19"/>
  <c r="S493" i="19" s="1"/>
  <c r="P493" i="19"/>
  <c r="Q493" i="19" s="1"/>
  <c r="U492" i="19"/>
  <c r="T492" i="19"/>
  <c r="R492" i="19"/>
  <c r="S492" i="19" s="1"/>
  <c r="P492" i="19"/>
  <c r="Q492" i="19" s="1"/>
  <c r="U491" i="19"/>
  <c r="T491" i="19"/>
  <c r="R491" i="19"/>
  <c r="S491" i="19" s="1"/>
  <c r="P491" i="19"/>
  <c r="Q491" i="19" s="1"/>
  <c r="U490" i="19"/>
  <c r="T490" i="19"/>
  <c r="R490" i="19"/>
  <c r="S490" i="19" s="1"/>
  <c r="P490" i="19"/>
  <c r="Q490" i="19" s="1"/>
  <c r="U489" i="19"/>
  <c r="T489" i="19"/>
  <c r="R489" i="19"/>
  <c r="S489" i="19" s="1"/>
  <c r="P489" i="19"/>
  <c r="Q489" i="19" s="1"/>
  <c r="U488" i="19"/>
  <c r="T488" i="19"/>
  <c r="R488" i="19"/>
  <c r="S488" i="19" s="1"/>
  <c r="P488" i="19"/>
  <c r="Q488" i="19" s="1"/>
  <c r="U487" i="19"/>
  <c r="T487" i="19"/>
  <c r="R487" i="19"/>
  <c r="S487" i="19" s="1"/>
  <c r="P487" i="19"/>
  <c r="Q487" i="19" s="1"/>
  <c r="U486" i="19"/>
  <c r="T486" i="19"/>
  <c r="R486" i="19"/>
  <c r="S486" i="19" s="1"/>
  <c r="P486" i="19"/>
  <c r="Q486" i="19" s="1"/>
  <c r="U485" i="19"/>
  <c r="T485" i="19"/>
  <c r="R485" i="19"/>
  <c r="S485" i="19" s="1"/>
  <c r="P485" i="19"/>
  <c r="Q485" i="19" s="1"/>
  <c r="U484" i="19"/>
  <c r="T484" i="19"/>
  <c r="R484" i="19"/>
  <c r="S484" i="19" s="1"/>
  <c r="P484" i="19"/>
  <c r="Q484" i="19" s="1"/>
  <c r="U483" i="19"/>
  <c r="T483" i="19"/>
  <c r="R483" i="19"/>
  <c r="S483" i="19" s="1"/>
  <c r="P483" i="19"/>
  <c r="Q483" i="19" s="1"/>
  <c r="U482" i="19"/>
  <c r="T482" i="19"/>
  <c r="R482" i="19"/>
  <c r="S482" i="19" s="1"/>
  <c r="P482" i="19"/>
  <c r="Q482" i="19" s="1"/>
  <c r="U481" i="19"/>
  <c r="T481" i="19"/>
  <c r="R481" i="19"/>
  <c r="S481" i="19" s="1"/>
  <c r="P481" i="19"/>
  <c r="Q481" i="19" s="1"/>
  <c r="U480" i="19"/>
  <c r="T480" i="19"/>
  <c r="R480" i="19"/>
  <c r="S480" i="19" s="1"/>
  <c r="P480" i="19"/>
  <c r="Q480" i="19" s="1"/>
  <c r="U479" i="19"/>
  <c r="T479" i="19"/>
  <c r="R479" i="19"/>
  <c r="S479" i="19" s="1"/>
  <c r="P479" i="19"/>
  <c r="Q479" i="19" s="1"/>
  <c r="U478" i="19"/>
  <c r="T478" i="19"/>
  <c r="R478" i="19"/>
  <c r="S478" i="19" s="1"/>
  <c r="P478" i="19"/>
  <c r="Q478" i="19" s="1"/>
  <c r="U477" i="19"/>
  <c r="T477" i="19"/>
  <c r="R477" i="19"/>
  <c r="S477" i="19" s="1"/>
  <c r="P477" i="19"/>
  <c r="Q477" i="19" s="1"/>
  <c r="U476" i="19"/>
  <c r="T476" i="19"/>
  <c r="R476" i="19"/>
  <c r="S476" i="19" s="1"/>
  <c r="P476" i="19"/>
  <c r="Q476" i="19" s="1"/>
  <c r="U475" i="19"/>
  <c r="T475" i="19"/>
  <c r="R475" i="19"/>
  <c r="S475" i="19" s="1"/>
  <c r="P475" i="19"/>
  <c r="Q475" i="19" s="1"/>
  <c r="U474" i="19"/>
  <c r="T474" i="19"/>
  <c r="R474" i="19"/>
  <c r="S474" i="19" s="1"/>
  <c r="P474" i="19"/>
  <c r="Q474" i="19" s="1"/>
  <c r="U473" i="19"/>
  <c r="T473" i="19"/>
  <c r="R473" i="19"/>
  <c r="S473" i="19" s="1"/>
  <c r="P473" i="19"/>
  <c r="Q473" i="19" s="1"/>
  <c r="U472" i="19"/>
  <c r="T472" i="19"/>
  <c r="R472" i="19"/>
  <c r="S472" i="19" s="1"/>
  <c r="P472" i="19"/>
  <c r="Q472" i="19" s="1"/>
  <c r="U471" i="19"/>
  <c r="T471" i="19"/>
  <c r="R471" i="19"/>
  <c r="S471" i="19" s="1"/>
  <c r="P471" i="19"/>
  <c r="Q471" i="19" s="1"/>
  <c r="U470" i="19"/>
  <c r="T470" i="19"/>
  <c r="R470" i="19"/>
  <c r="S470" i="19" s="1"/>
  <c r="P470" i="19"/>
  <c r="Q470" i="19" s="1"/>
  <c r="U469" i="19"/>
  <c r="T469" i="19"/>
  <c r="R469" i="19"/>
  <c r="S469" i="19" s="1"/>
  <c r="P469" i="19"/>
  <c r="Q469" i="19" s="1"/>
  <c r="U468" i="19"/>
  <c r="T468" i="19"/>
  <c r="R468" i="19"/>
  <c r="S468" i="19" s="1"/>
  <c r="P468" i="19"/>
  <c r="Q468" i="19" s="1"/>
  <c r="U467" i="19"/>
  <c r="T467" i="19"/>
  <c r="R467" i="19"/>
  <c r="S467" i="19" s="1"/>
  <c r="P467" i="19"/>
  <c r="Q467" i="19" s="1"/>
  <c r="U466" i="19"/>
  <c r="T466" i="19"/>
  <c r="R466" i="19"/>
  <c r="S466" i="19" s="1"/>
  <c r="P466" i="19"/>
  <c r="Q466" i="19" s="1"/>
  <c r="U465" i="19"/>
  <c r="T465" i="19"/>
  <c r="R465" i="19"/>
  <c r="S465" i="19" s="1"/>
  <c r="P465" i="19"/>
  <c r="Q465" i="19" s="1"/>
  <c r="U464" i="19"/>
  <c r="T464" i="19"/>
  <c r="R464" i="19"/>
  <c r="S464" i="19" s="1"/>
  <c r="P464" i="19"/>
  <c r="Q464" i="19" s="1"/>
  <c r="U463" i="19"/>
  <c r="T463" i="19"/>
  <c r="R463" i="19"/>
  <c r="S463" i="19" s="1"/>
  <c r="P463" i="19"/>
  <c r="Q463" i="19" s="1"/>
  <c r="U462" i="19"/>
  <c r="T462" i="19"/>
  <c r="R462" i="19"/>
  <c r="S462" i="19" s="1"/>
  <c r="P462" i="19"/>
  <c r="Q462" i="19" s="1"/>
  <c r="U461" i="19"/>
  <c r="T461" i="19"/>
  <c r="R461" i="19"/>
  <c r="S461" i="19" s="1"/>
  <c r="P461" i="19"/>
  <c r="Q461" i="19" s="1"/>
  <c r="U460" i="19"/>
  <c r="T460" i="19"/>
  <c r="R460" i="19"/>
  <c r="S460" i="19" s="1"/>
  <c r="P460" i="19"/>
  <c r="Q460" i="19" s="1"/>
  <c r="U459" i="19"/>
  <c r="T459" i="19"/>
  <c r="R459" i="19"/>
  <c r="S459" i="19" s="1"/>
  <c r="P459" i="19"/>
  <c r="Q459" i="19" s="1"/>
  <c r="U458" i="19"/>
  <c r="T458" i="19"/>
  <c r="R458" i="19"/>
  <c r="S458" i="19" s="1"/>
  <c r="P458" i="19"/>
  <c r="Q458" i="19" s="1"/>
  <c r="U457" i="19"/>
  <c r="T457" i="19"/>
  <c r="R457" i="19"/>
  <c r="S457" i="19" s="1"/>
  <c r="P457" i="19"/>
  <c r="Q457" i="19" s="1"/>
  <c r="U456" i="19"/>
  <c r="T456" i="19"/>
  <c r="R456" i="19"/>
  <c r="S456" i="19" s="1"/>
  <c r="P456" i="19"/>
  <c r="Q456" i="19" s="1"/>
  <c r="U455" i="19"/>
  <c r="T455" i="19"/>
  <c r="R455" i="19"/>
  <c r="S455" i="19" s="1"/>
  <c r="P455" i="19"/>
  <c r="Q455" i="19" s="1"/>
  <c r="U454" i="19"/>
  <c r="T454" i="19"/>
  <c r="R454" i="19"/>
  <c r="S454" i="19" s="1"/>
  <c r="P454" i="19"/>
  <c r="Q454" i="19" s="1"/>
  <c r="U453" i="19"/>
  <c r="T453" i="19"/>
  <c r="R453" i="19"/>
  <c r="S453" i="19" s="1"/>
  <c r="P453" i="19"/>
  <c r="Q453" i="19" s="1"/>
  <c r="U452" i="19"/>
  <c r="T452" i="19"/>
  <c r="R452" i="19"/>
  <c r="S452" i="19" s="1"/>
  <c r="P452" i="19"/>
  <c r="Q452" i="19" s="1"/>
  <c r="U451" i="19"/>
  <c r="T451" i="19"/>
  <c r="R451" i="19"/>
  <c r="S451" i="19" s="1"/>
  <c r="P451" i="19"/>
  <c r="Q451" i="19" s="1"/>
  <c r="U450" i="19"/>
  <c r="T450" i="19"/>
  <c r="R450" i="19"/>
  <c r="S450" i="19" s="1"/>
  <c r="P450" i="19"/>
  <c r="Q450" i="19" s="1"/>
  <c r="U449" i="19"/>
  <c r="T449" i="19"/>
  <c r="R449" i="19"/>
  <c r="S449" i="19" s="1"/>
  <c r="P449" i="19"/>
  <c r="Q449" i="19" s="1"/>
  <c r="U448" i="19"/>
  <c r="T448" i="19"/>
  <c r="R448" i="19"/>
  <c r="S448" i="19" s="1"/>
  <c r="P448" i="19"/>
  <c r="Q448" i="19" s="1"/>
  <c r="U447" i="19"/>
  <c r="T447" i="19"/>
  <c r="R447" i="19"/>
  <c r="S447" i="19" s="1"/>
  <c r="P447" i="19"/>
  <c r="Q447" i="19" s="1"/>
  <c r="U446" i="19"/>
  <c r="T446" i="19"/>
  <c r="R446" i="19"/>
  <c r="S446" i="19" s="1"/>
  <c r="P446" i="19"/>
  <c r="Q446" i="19" s="1"/>
  <c r="U445" i="19"/>
  <c r="T445" i="19"/>
  <c r="R445" i="19"/>
  <c r="S445" i="19" s="1"/>
  <c r="P445" i="19"/>
  <c r="Q445" i="19" s="1"/>
  <c r="U444" i="19"/>
  <c r="T444" i="19"/>
  <c r="R444" i="19"/>
  <c r="S444" i="19" s="1"/>
  <c r="P444" i="19"/>
  <c r="Q444" i="19" s="1"/>
  <c r="U443" i="19"/>
  <c r="T443" i="19"/>
  <c r="R443" i="19"/>
  <c r="S443" i="19" s="1"/>
  <c r="P443" i="19"/>
  <c r="Q443" i="19" s="1"/>
  <c r="U442" i="19"/>
  <c r="T442" i="19"/>
  <c r="R442" i="19"/>
  <c r="S442" i="19" s="1"/>
  <c r="P442" i="19"/>
  <c r="Q442" i="19" s="1"/>
  <c r="U441" i="19"/>
  <c r="T441" i="19"/>
  <c r="R441" i="19"/>
  <c r="S441" i="19" s="1"/>
  <c r="P441" i="19"/>
  <c r="Q441" i="19" s="1"/>
  <c r="U440" i="19"/>
  <c r="T440" i="19"/>
  <c r="R440" i="19"/>
  <c r="S440" i="19" s="1"/>
  <c r="P440" i="19"/>
  <c r="Q440" i="19" s="1"/>
  <c r="U439" i="19"/>
  <c r="T439" i="19"/>
  <c r="R439" i="19"/>
  <c r="S439" i="19" s="1"/>
  <c r="P439" i="19"/>
  <c r="Q439" i="19" s="1"/>
  <c r="U438" i="19"/>
  <c r="T438" i="19"/>
  <c r="R438" i="19"/>
  <c r="S438" i="19" s="1"/>
  <c r="P438" i="19"/>
  <c r="Q438" i="19" s="1"/>
  <c r="U437" i="19"/>
  <c r="T437" i="19"/>
  <c r="R437" i="19"/>
  <c r="S437" i="19" s="1"/>
  <c r="P437" i="19"/>
  <c r="Q437" i="19" s="1"/>
  <c r="U436" i="19"/>
  <c r="T436" i="19"/>
  <c r="R436" i="19"/>
  <c r="S436" i="19" s="1"/>
  <c r="P436" i="19"/>
  <c r="Q436" i="19" s="1"/>
  <c r="U435" i="19"/>
  <c r="T435" i="19"/>
  <c r="R435" i="19"/>
  <c r="S435" i="19" s="1"/>
  <c r="P435" i="19"/>
  <c r="Q435" i="19" s="1"/>
  <c r="U434" i="19"/>
  <c r="T434" i="19"/>
  <c r="R434" i="19"/>
  <c r="S434" i="19" s="1"/>
  <c r="P434" i="19"/>
  <c r="Q434" i="19" s="1"/>
  <c r="U433" i="19"/>
  <c r="T433" i="19"/>
  <c r="R433" i="19"/>
  <c r="S433" i="19" s="1"/>
  <c r="P433" i="19"/>
  <c r="Q433" i="19" s="1"/>
  <c r="U432" i="19"/>
  <c r="T432" i="19"/>
  <c r="R432" i="19"/>
  <c r="S432" i="19" s="1"/>
  <c r="P432" i="19"/>
  <c r="Q432" i="19" s="1"/>
  <c r="U431" i="19"/>
  <c r="T431" i="19"/>
  <c r="R431" i="19"/>
  <c r="S431" i="19" s="1"/>
  <c r="P431" i="19"/>
  <c r="Q431" i="19" s="1"/>
  <c r="U430" i="19"/>
  <c r="T430" i="19"/>
  <c r="R430" i="19"/>
  <c r="S430" i="19" s="1"/>
  <c r="P430" i="19"/>
  <c r="Q430" i="19" s="1"/>
  <c r="U429" i="19"/>
  <c r="T429" i="19"/>
  <c r="R429" i="19"/>
  <c r="S429" i="19" s="1"/>
  <c r="P429" i="19"/>
  <c r="Q429" i="19" s="1"/>
  <c r="U428" i="19"/>
  <c r="T428" i="19"/>
  <c r="R428" i="19"/>
  <c r="S428" i="19" s="1"/>
  <c r="P428" i="19"/>
  <c r="Q428" i="19" s="1"/>
  <c r="U427" i="19"/>
  <c r="T427" i="19"/>
  <c r="R427" i="19"/>
  <c r="S427" i="19" s="1"/>
  <c r="P427" i="19"/>
  <c r="Q427" i="19" s="1"/>
  <c r="U426" i="19"/>
  <c r="T426" i="19"/>
  <c r="R426" i="19"/>
  <c r="S426" i="19" s="1"/>
  <c r="P426" i="19"/>
  <c r="Q426" i="19" s="1"/>
  <c r="U425" i="19"/>
  <c r="T425" i="19"/>
  <c r="R425" i="19"/>
  <c r="S425" i="19" s="1"/>
  <c r="P425" i="19"/>
  <c r="Q425" i="19" s="1"/>
  <c r="U424" i="19"/>
  <c r="T424" i="19"/>
  <c r="R424" i="19"/>
  <c r="S424" i="19" s="1"/>
  <c r="P424" i="19"/>
  <c r="Q424" i="19" s="1"/>
  <c r="U423" i="19"/>
  <c r="T423" i="19"/>
  <c r="R423" i="19"/>
  <c r="S423" i="19" s="1"/>
  <c r="P423" i="19"/>
  <c r="Q423" i="19" s="1"/>
  <c r="U422" i="19"/>
  <c r="T422" i="19"/>
  <c r="R422" i="19"/>
  <c r="S422" i="19" s="1"/>
  <c r="P422" i="19"/>
  <c r="Q422" i="19" s="1"/>
  <c r="U421" i="19"/>
  <c r="T421" i="19"/>
  <c r="R421" i="19"/>
  <c r="S421" i="19" s="1"/>
  <c r="P421" i="19"/>
  <c r="Q421" i="19" s="1"/>
  <c r="U420" i="19"/>
  <c r="T420" i="19"/>
  <c r="R420" i="19"/>
  <c r="S420" i="19" s="1"/>
  <c r="P420" i="19"/>
  <c r="Q420" i="19" s="1"/>
  <c r="U419" i="19"/>
  <c r="T419" i="19"/>
  <c r="R419" i="19"/>
  <c r="S419" i="19" s="1"/>
  <c r="P419" i="19"/>
  <c r="Q419" i="19" s="1"/>
  <c r="U418" i="19"/>
  <c r="T418" i="19"/>
  <c r="R418" i="19"/>
  <c r="S418" i="19" s="1"/>
  <c r="P418" i="19"/>
  <c r="Q418" i="19" s="1"/>
  <c r="U417" i="19"/>
  <c r="T417" i="19"/>
  <c r="R417" i="19"/>
  <c r="S417" i="19" s="1"/>
  <c r="P417" i="19"/>
  <c r="Q417" i="19" s="1"/>
  <c r="U416" i="19"/>
  <c r="T416" i="19"/>
  <c r="R416" i="19"/>
  <c r="S416" i="19" s="1"/>
  <c r="P416" i="19"/>
  <c r="Q416" i="19" s="1"/>
  <c r="U415" i="19"/>
  <c r="T415" i="19"/>
  <c r="R415" i="19"/>
  <c r="S415" i="19" s="1"/>
  <c r="P415" i="19"/>
  <c r="Q415" i="19" s="1"/>
  <c r="U414" i="19"/>
  <c r="T414" i="19"/>
  <c r="R414" i="19"/>
  <c r="S414" i="19" s="1"/>
  <c r="P414" i="19"/>
  <c r="Q414" i="19" s="1"/>
  <c r="U413" i="19"/>
  <c r="T413" i="19"/>
  <c r="R413" i="19"/>
  <c r="S413" i="19" s="1"/>
  <c r="P413" i="19"/>
  <c r="Q413" i="19" s="1"/>
  <c r="U412" i="19"/>
  <c r="T412" i="19"/>
  <c r="R412" i="19"/>
  <c r="S412" i="19" s="1"/>
  <c r="P412" i="19"/>
  <c r="Q412" i="19" s="1"/>
  <c r="U411" i="19"/>
  <c r="T411" i="19"/>
  <c r="R411" i="19"/>
  <c r="S411" i="19" s="1"/>
  <c r="P411" i="19"/>
  <c r="Q411" i="19" s="1"/>
  <c r="U410" i="19"/>
  <c r="T410" i="19"/>
  <c r="R410" i="19"/>
  <c r="S410" i="19" s="1"/>
  <c r="P410" i="19"/>
  <c r="Q410" i="19" s="1"/>
  <c r="U409" i="19"/>
  <c r="T409" i="19"/>
  <c r="R409" i="19"/>
  <c r="S409" i="19" s="1"/>
  <c r="P409" i="19"/>
  <c r="Q409" i="19" s="1"/>
  <c r="U408" i="19"/>
  <c r="T408" i="19"/>
  <c r="R408" i="19"/>
  <c r="S408" i="19" s="1"/>
  <c r="P408" i="19"/>
  <c r="Q408" i="19" s="1"/>
  <c r="U407" i="19"/>
  <c r="T407" i="19"/>
  <c r="R407" i="19"/>
  <c r="S407" i="19" s="1"/>
  <c r="P407" i="19"/>
  <c r="Q407" i="19" s="1"/>
  <c r="U406" i="19"/>
  <c r="T406" i="19"/>
  <c r="R406" i="19"/>
  <c r="S406" i="19" s="1"/>
  <c r="P406" i="19"/>
  <c r="Q406" i="19" s="1"/>
  <c r="U405" i="19"/>
  <c r="T405" i="19"/>
  <c r="R405" i="19"/>
  <c r="S405" i="19" s="1"/>
  <c r="P405" i="19"/>
  <c r="Q405" i="19" s="1"/>
  <c r="U404" i="19"/>
  <c r="T404" i="19"/>
  <c r="R404" i="19"/>
  <c r="S404" i="19" s="1"/>
  <c r="P404" i="19"/>
  <c r="Q404" i="19" s="1"/>
  <c r="U403" i="19"/>
  <c r="T403" i="19"/>
  <c r="R403" i="19"/>
  <c r="S403" i="19" s="1"/>
  <c r="P403" i="19"/>
  <c r="Q403" i="19" s="1"/>
  <c r="U402" i="19"/>
  <c r="T402" i="19"/>
  <c r="R402" i="19"/>
  <c r="S402" i="19" s="1"/>
  <c r="P402" i="19"/>
  <c r="Q402" i="19" s="1"/>
  <c r="U401" i="19"/>
  <c r="T401" i="19"/>
  <c r="R401" i="19"/>
  <c r="S401" i="19" s="1"/>
  <c r="P401" i="19"/>
  <c r="Q401" i="19" s="1"/>
  <c r="U400" i="19"/>
  <c r="T400" i="19"/>
  <c r="R400" i="19"/>
  <c r="S400" i="19" s="1"/>
  <c r="P400" i="19"/>
  <c r="Q400" i="19" s="1"/>
  <c r="U399" i="19"/>
  <c r="T399" i="19"/>
  <c r="R399" i="19"/>
  <c r="S399" i="19" s="1"/>
  <c r="P399" i="19"/>
  <c r="Q399" i="19" s="1"/>
  <c r="U398" i="19"/>
  <c r="T398" i="19"/>
  <c r="R398" i="19"/>
  <c r="S398" i="19" s="1"/>
  <c r="P398" i="19"/>
  <c r="Q398" i="19" s="1"/>
  <c r="U397" i="19"/>
  <c r="T397" i="19"/>
  <c r="R397" i="19"/>
  <c r="S397" i="19" s="1"/>
  <c r="P397" i="19"/>
  <c r="Q397" i="19" s="1"/>
  <c r="U396" i="19"/>
  <c r="T396" i="19"/>
  <c r="R396" i="19"/>
  <c r="S396" i="19" s="1"/>
  <c r="P396" i="19"/>
  <c r="Q396" i="19" s="1"/>
  <c r="U395" i="19"/>
  <c r="T395" i="19"/>
  <c r="R395" i="19"/>
  <c r="S395" i="19" s="1"/>
  <c r="P395" i="19"/>
  <c r="Q395" i="19" s="1"/>
  <c r="U394" i="19"/>
  <c r="T394" i="19"/>
  <c r="R394" i="19"/>
  <c r="S394" i="19" s="1"/>
  <c r="P394" i="19"/>
  <c r="Q394" i="19" s="1"/>
  <c r="U393" i="19"/>
  <c r="T393" i="19"/>
  <c r="R393" i="19"/>
  <c r="S393" i="19" s="1"/>
  <c r="P393" i="19"/>
  <c r="Q393" i="19" s="1"/>
  <c r="U392" i="19"/>
  <c r="T392" i="19"/>
  <c r="R392" i="19"/>
  <c r="S392" i="19" s="1"/>
  <c r="P392" i="19"/>
  <c r="Q392" i="19" s="1"/>
  <c r="U391" i="19"/>
  <c r="T391" i="19"/>
  <c r="R391" i="19"/>
  <c r="S391" i="19" s="1"/>
  <c r="P391" i="19"/>
  <c r="Q391" i="19" s="1"/>
  <c r="U390" i="19"/>
  <c r="T390" i="19"/>
  <c r="R390" i="19"/>
  <c r="S390" i="19" s="1"/>
  <c r="P390" i="19"/>
  <c r="Q390" i="19" s="1"/>
  <c r="U389" i="19"/>
  <c r="T389" i="19"/>
  <c r="R389" i="19"/>
  <c r="S389" i="19" s="1"/>
  <c r="P389" i="19"/>
  <c r="Q389" i="19" s="1"/>
  <c r="U388" i="19"/>
  <c r="T388" i="19"/>
  <c r="R388" i="19"/>
  <c r="S388" i="19" s="1"/>
  <c r="P388" i="19"/>
  <c r="Q388" i="19" s="1"/>
  <c r="U387" i="19"/>
  <c r="T387" i="19"/>
  <c r="R387" i="19"/>
  <c r="S387" i="19" s="1"/>
  <c r="P387" i="19"/>
  <c r="Q387" i="19" s="1"/>
  <c r="U386" i="19"/>
  <c r="T386" i="19"/>
  <c r="R386" i="19"/>
  <c r="S386" i="19" s="1"/>
  <c r="P386" i="19"/>
  <c r="Q386" i="19" s="1"/>
  <c r="U385" i="19"/>
  <c r="T385" i="19"/>
  <c r="R385" i="19"/>
  <c r="S385" i="19" s="1"/>
  <c r="P385" i="19"/>
  <c r="Q385" i="19" s="1"/>
  <c r="U384" i="19"/>
  <c r="T384" i="19"/>
  <c r="R384" i="19"/>
  <c r="S384" i="19" s="1"/>
  <c r="P384" i="19"/>
  <c r="Q384" i="19" s="1"/>
  <c r="U383" i="19"/>
  <c r="T383" i="19"/>
  <c r="R383" i="19"/>
  <c r="S383" i="19" s="1"/>
  <c r="P383" i="19"/>
  <c r="Q383" i="19" s="1"/>
  <c r="U382" i="19"/>
  <c r="T382" i="19"/>
  <c r="R382" i="19"/>
  <c r="S382" i="19" s="1"/>
  <c r="P382" i="19"/>
  <c r="Q382" i="19" s="1"/>
  <c r="U381" i="19"/>
  <c r="T381" i="19"/>
  <c r="R381" i="19"/>
  <c r="S381" i="19" s="1"/>
  <c r="P381" i="19"/>
  <c r="Q381" i="19" s="1"/>
  <c r="U380" i="19"/>
  <c r="T380" i="19"/>
  <c r="R380" i="19"/>
  <c r="S380" i="19" s="1"/>
  <c r="P380" i="19"/>
  <c r="Q380" i="19" s="1"/>
  <c r="U379" i="19"/>
  <c r="T379" i="19"/>
  <c r="R379" i="19"/>
  <c r="S379" i="19" s="1"/>
  <c r="P379" i="19"/>
  <c r="Q379" i="19" s="1"/>
  <c r="U378" i="19"/>
  <c r="T378" i="19"/>
  <c r="R378" i="19"/>
  <c r="S378" i="19" s="1"/>
  <c r="P378" i="19"/>
  <c r="Q378" i="19" s="1"/>
  <c r="U377" i="19"/>
  <c r="T377" i="19"/>
  <c r="R377" i="19"/>
  <c r="S377" i="19" s="1"/>
  <c r="P377" i="19"/>
  <c r="Q377" i="19" s="1"/>
  <c r="U376" i="19"/>
  <c r="T376" i="19"/>
  <c r="R376" i="19"/>
  <c r="S376" i="19" s="1"/>
  <c r="P376" i="19"/>
  <c r="Q376" i="19" s="1"/>
  <c r="U375" i="19"/>
  <c r="T375" i="19"/>
  <c r="R375" i="19"/>
  <c r="S375" i="19" s="1"/>
  <c r="P375" i="19"/>
  <c r="Q375" i="19" s="1"/>
  <c r="U374" i="19"/>
  <c r="T374" i="19"/>
  <c r="R374" i="19"/>
  <c r="S374" i="19" s="1"/>
  <c r="P374" i="19"/>
  <c r="Q374" i="19" s="1"/>
  <c r="U373" i="19"/>
  <c r="T373" i="19"/>
  <c r="R373" i="19"/>
  <c r="S373" i="19" s="1"/>
  <c r="P373" i="19"/>
  <c r="Q373" i="19" s="1"/>
  <c r="U372" i="19"/>
  <c r="T372" i="19"/>
  <c r="R372" i="19"/>
  <c r="S372" i="19" s="1"/>
  <c r="P372" i="19"/>
  <c r="Q372" i="19" s="1"/>
  <c r="U371" i="19"/>
  <c r="T371" i="19"/>
  <c r="R371" i="19"/>
  <c r="S371" i="19" s="1"/>
  <c r="P371" i="19"/>
  <c r="Q371" i="19" s="1"/>
  <c r="U370" i="19"/>
  <c r="T370" i="19"/>
  <c r="R370" i="19"/>
  <c r="S370" i="19" s="1"/>
  <c r="P370" i="19"/>
  <c r="Q370" i="19" s="1"/>
  <c r="U369" i="19"/>
  <c r="T369" i="19"/>
  <c r="R369" i="19"/>
  <c r="S369" i="19" s="1"/>
  <c r="P369" i="19"/>
  <c r="Q369" i="19" s="1"/>
  <c r="U368" i="19"/>
  <c r="T368" i="19"/>
  <c r="R368" i="19"/>
  <c r="S368" i="19" s="1"/>
  <c r="P368" i="19"/>
  <c r="Q368" i="19" s="1"/>
  <c r="U367" i="19"/>
  <c r="T367" i="19"/>
  <c r="R367" i="19"/>
  <c r="S367" i="19" s="1"/>
  <c r="P367" i="19"/>
  <c r="Q367" i="19" s="1"/>
  <c r="U366" i="19"/>
  <c r="T366" i="19"/>
  <c r="R366" i="19"/>
  <c r="S366" i="19" s="1"/>
  <c r="P366" i="19"/>
  <c r="Q366" i="19" s="1"/>
  <c r="U365" i="19"/>
  <c r="T365" i="19"/>
  <c r="R365" i="19"/>
  <c r="S365" i="19" s="1"/>
  <c r="P365" i="19"/>
  <c r="Q365" i="19" s="1"/>
  <c r="U364" i="19"/>
  <c r="T364" i="19"/>
  <c r="R364" i="19"/>
  <c r="S364" i="19" s="1"/>
  <c r="P364" i="19"/>
  <c r="Q364" i="19" s="1"/>
  <c r="U363" i="19"/>
  <c r="T363" i="19"/>
  <c r="R363" i="19"/>
  <c r="S363" i="19" s="1"/>
  <c r="P363" i="19"/>
  <c r="Q363" i="19" s="1"/>
  <c r="U362" i="19"/>
  <c r="T362" i="19"/>
  <c r="R362" i="19"/>
  <c r="S362" i="19" s="1"/>
  <c r="P362" i="19"/>
  <c r="Q362" i="19" s="1"/>
  <c r="U361" i="19"/>
  <c r="T361" i="19"/>
  <c r="R361" i="19"/>
  <c r="S361" i="19" s="1"/>
  <c r="P361" i="19"/>
  <c r="Q361" i="19" s="1"/>
  <c r="U360" i="19"/>
  <c r="T360" i="19"/>
  <c r="R360" i="19"/>
  <c r="S360" i="19" s="1"/>
  <c r="P360" i="19"/>
  <c r="Q360" i="19" s="1"/>
  <c r="U359" i="19"/>
  <c r="T359" i="19"/>
  <c r="R359" i="19"/>
  <c r="S359" i="19" s="1"/>
  <c r="P359" i="19"/>
  <c r="Q359" i="19" s="1"/>
  <c r="U358" i="19"/>
  <c r="T358" i="19"/>
  <c r="R358" i="19"/>
  <c r="S358" i="19" s="1"/>
  <c r="P358" i="19"/>
  <c r="Q358" i="19" s="1"/>
  <c r="U357" i="19"/>
  <c r="T357" i="19"/>
  <c r="R357" i="19"/>
  <c r="S357" i="19" s="1"/>
  <c r="P357" i="19"/>
  <c r="Q357" i="19" s="1"/>
  <c r="U356" i="19"/>
  <c r="T356" i="19"/>
  <c r="R356" i="19"/>
  <c r="S356" i="19" s="1"/>
  <c r="P356" i="19"/>
  <c r="Q356" i="19" s="1"/>
  <c r="U355" i="19"/>
  <c r="T355" i="19"/>
  <c r="R355" i="19"/>
  <c r="S355" i="19" s="1"/>
  <c r="P355" i="19"/>
  <c r="Q355" i="19" s="1"/>
  <c r="U354" i="19"/>
  <c r="T354" i="19"/>
  <c r="R354" i="19"/>
  <c r="S354" i="19" s="1"/>
  <c r="P354" i="19"/>
  <c r="Q354" i="19" s="1"/>
  <c r="U353" i="19"/>
  <c r="T353" i="19"/>
  <c r="R353" i="19"/>
  <c r="S353" i="19" s="1"/>
  <c r="P353" i="19"/>
  <c r="Q353" i="19" s="1"/>
  <c r="U352" i="19"/>
  <c r="T352" i="19"/>
  <c r="R352" i="19"/>
  <c r="S352" i="19" s="1"/>
  <c r="P352" i="19"/>
  <c r="Q352" i="19" s="1"/>
  <c r="U351" i="19"/>
  <c r="T351" i="19"/>
  <c r="R351" i="19"/>
  <c r="S351" i="19" s="1"/>
  <c r="P351" i="19"/>
  <c r="Q351" i="19" s="1"/>
  <c r="U350" i="19"/>
  <c r="T350" i="19"/>
  <c r="R350" i="19"/>
  <c r="S350" i="19" s="1"/>
  <c r="P350" i="19"/>
  <c r="Q350" i="19" s="1"/>
  <c r="U349" i="19"/>
  <c r="T349" i="19"/>
  <c r="R349" i="19"/>
  <c r="S349" i="19" s="1"/>
  <c r="P349" i="19"/>
  <c r="Q349" i="19" s="1"/>
  <c r="U348" i="19"/>
  <c r="T348" i="19"/>
  <c r="R348" i="19"/>
  <c r="S348" i="19" s="1"/>
  <c r="P348" i="19"/>
  <c r="Q348" i="19" s="1"/>
  <c r="U347" i="19"/>
  <c r="T347" i="19"/>
  <c r="R347" i="19"/>
  <c r="S347" i="19" s="1"/>
  <c r="P347" i="19"/>
  <c r="Q347" i="19" s="1"/>
  <c r="U346" i="19"/>
  <c r="T346" i="19"/>
  <c r="R346" i="19"/>
  <c r="S346" i="19" s="1"/>
  <c r="P346" i="19"/>
  <c r="Q346" i="19" s="1"/>
  <c r="U345" i="19"/>
  <c r="T345" i="19"/>
  <c r="R345" i="19"/>
  <c r="S345" i="19" s="1"/>
  <c r="P345" i="19"/>
  <c r="Q345" i="19" s="1"/>
  <c r="U344" i="19"/>
  <c r="T344" i="19"/>
  <c r="R344" i="19"/>
  <c r="S344" i="19" s="1"/>
  <c r="P344" i="19"/>
  <c r="Q344" i="19" s="1"/>
  <c r="U343" i="19"/>
  <c r="T343" i="19"/>
  <c r="R343" i="19"/>
  <c r="S343" i="19" s="1"/>
  <c r="P343" i="19"/>
  <c r="Q343" i="19" s="1"/>
  <c r="U342" i="19"/>
  <c r="T342" i="19"/>
  <c r="R342" i="19"/>
  <c r="S342" i="19" s="1"/>
  <c r="P342" i="19"/>
  <c r="Q342" i="19" s="1"/>
  <c r="U341" i="19"/>
  <c r="T341" i="19"/>
  <c r="R341" i="19"/>
  <c r="S341" i="19" s="1"/>
  <c r="P341" i="19"/>
  <c r="Q341" i="19" s="1"/>
  <c r="U340" i="19"/>
  <c r="T340" i="19"/>
  <c r="R340" i="19"/>
  <c r="S340" i="19" s="1"/>
  <c r="P340" i="19"/>
  <c r="Q340" i="19" s="1"/>
  <c r="U339" i="19"/>
  <c r="T339" i="19"/>
  <c r="R339" i="19"/>
  <c r="S339" i="19" s="1"/>
  <c r="P339" i="19"/>
  <c r="Q339" i="19" s="1"/>
  <c r="U338" i="19"/>
  <c r="T338" i="19"/>
  <c r="R338" i="19"/>
  <c r="S338" i="19" s="1"/>
  <c r="P338" i="19"/>
  <c r="Q338" i="19" s="1"/>
  <c r="U337" i="19"/>
  <c r="T337" i="19"/>
  <c r="R337" i="19"/>
  <c r="S337" i="19" s="1"/>
  <c r="P337" i="19"/>
  <c r="Q337" i="19" s="1"/>
  <c r="U336" i="19"/>
  <c r="T336" i="19"/>
  <c r="R336" i="19"/>
  <c r="S336" i="19" s="1"/>
  <c r="P336" i="19"/>
  <c r="Q336" i="19" s="1"/>
  <c r="U335" i="19"/>
  <c r="T335" i="19"/>
  <c r="R335" i="19"/>
  <c r="S335" i="19" s="1"/>
  <c r="P335" i="19"/>
  <c r="Q335" i="19" s="1"/>
  <c r="U334" i="19"/>
  <c r="T334" i="19"/>
  <c r="R334" i="19"/>
  <c r="S334" i="19" s="1"/>
  <c r="P334" i="19"/>
  <c r="Q334" i="19" s="1"/>
  <c r="U333" i="19"/>
  <c r="T333" i="19"/>
  <c r="R333" i="19"/>
  <c r="S333" i="19" s="1"/>
  <c r="P333" i="19"/>
  <c r="Q333" i="19" s="1"/>
  <c r="U332" i="19"/>
  <c r="T332" i="19"/>
  <c r="R332" i="19"/>
  <c r="S332" i="19" s="1"/>
  <c r="P332" i="19"/>
  <c r="Q332" i="19" s="1"/>
  <c r="U331" i="19"/>
  <c r="T331" i="19"/>
  <c r="R331" i="19"/>
  <c r="S331" i="19" s="1"/>
  <c r="P331" i="19"/>
  <c r="Q331" i="19" s="1"/>
  <c r="U330" i="19"/>
  <c r="T330" i="19"/>
  <c r="R330" i="19"/>
  <c r="S330" i="19" s="1"/>
  <c r="P330" i="19"/>
  <c r="Q330" i="19" s="1"/>
  <c r="U329" i="19"/>
  <c r="T329" i="19"/>
  <c r="R329" i="19"/>
  <c r="S329" i="19" s="1"/>
  <c r="P329" i="19"/>
  <c r="Q329" i="19" s="1"/>
  <c r="U328" i="19"/>
  <c r="T328" i="19"/>
  <c r="R328" i="19"/>
  <c r="S328" i="19" s="1"/>
  <c r="P328" i="19"/>
  <c r="Q328" i="19" s="1"/>
  <c r="U327" i="19"/>
  <c r="T327" i="19"/>
  <c r="R327" i="19"/>
  <c r="S327" i="19" s="1"/>
  <c r="P327" i="19"/>
  <c r="Q327" i="19" s="1"/>
  <c r="U326" i="19"/>
  <c r="T326" i="19"/>
  <c r="R326" i="19"/>
  <c r="S326" i="19" s="1"/>
  <c r="P326" i="19"/>
  <c r="Q326" i="19" s="1"/>
  <c r="U325" i="19"/>
  <c r="T325" i="19"/>
  <c r="R325" i="19"/>
  <c r="S325" i="19" s="1"/>
  <c r="P325" i="19"/>
  <c r="Q325" i="19" s="1"/>
  <c r="U324" i="19"/>
  <c r="T324" i="19"/>
  <c r="R324" i="19"/>
  <c r="S324" i="19" s="1"/>
  <c r="P324" i="19"/>
  <c r="Q324" i="19" s="1"/>
  <c r="U323" i="19"/>
  <c r="T323" i="19"/>
  <c r="R323" i="19"/>
  <c r="S323" i="19" s="1"/>
  <c r="P323" i="19"/>
  <c r="Q323" i="19" s="1"/>
  <c r="U322" i="19"/>
  <c r="T322" i="19"/>
  <c r="R322" i="19"/>
  <c r="S322" i="19" s="1"/>
  <c r="P322" i="19"/>
  <c r="Q322" i="19" s="1"/>
  <c r="U321" i="19"/>
  <c r="T321" i="19"/>
  <c r="R321" i="19"/>
  <c r="S321" i="19" s="1"/>
  <c r="P321" i="19"/>
  <c r="Q321" i="19" s="1"/>
  <c r="U320" i="19"/>
  <c r="T320" i="19"/>
  <c r="R320" i="19"/>
  <c r="S320" i="19" s="1"/>
  <c r="P320" i="19"/>
  <c r="Q320" i="19" s="1"/>
  <c r="U319" i="19"/>
  <c r="T319" i="19"/>
  <c r="R319" i="19"/>
  <c r="S319" i="19" s="1"/>
  <c r="P319" i="19"/>
  <c r="Q319" i="19" s="1"/>
  <c r="U318" i="19"/>
  <c r="T318" i="19"/>
  <c r="R318" i="19"/>
  <c r="S318" i="19" s="1"/>
  <c r="P318" i="19"/>
  <c r="Q318" i="19" s="1"/>
  <c r="U317" i="19"/>
  <c r="T317" i="19"/>
  <c r="R317" i="19"/>
  <c r="S317" i="19" s="1"/>
  <c r="P317" i="19"/>
  <c r="Q317" i="19" s="1"/>
  <c r="U316" i="19"/>
  <c r="T316" i="19"/>
  <c r="R316" i="19"/>
  <c r="S316" i="19" s="1"/>
  <c r="P316" i="19"/>
  <c r="Q316" i="19" s="1"/>
  <c r="U315" i="19"/>
  <c r="T315" i="19"/>
  <c r="R315" i="19"/>
  <c r="S315" i="19" s="1"/>
  <c r="P315" i="19"/>
  <c r="Q315" i="19" s="1"/>
  <c r="U314" i="19"/>
  <c r="T314" i="19"/>
  <c r="R314" i="19"/>
  <c r="S314" i="19" s="1"/>
  <c r="P314" i="19"/>
  <c r="Q314" i="19" s="1"/>
  <c r="U313" i="19"/>
  <c r="T313" i="19"/>
  <c r="R313" i="19"/>
  <c r="S313" i="19" s="1"/>
  <c r="P313" i="19"/>
  <c r="Q313" i="19" s="1"/>
  <c r="U312" i="19"/>
  <c r="T312" i="19"/>
  <c r="R312" i="19"/>
  <c r="S312" i="19" s="1"/>
  <c r="P312" i="19"/>
  <c r="Q312" i="19" s="1"/>
  <c r="U311" i="19"/>
  <c r="T311" i="19"/>
  <c r="R311" i="19"/>
  <c r="S311" i="19" s="1"/>
  <c r="P311" i="19"/>
  <c r="Q311" i="19" s="1"/>
  <c r="U310" i="19"/>
  <c r="T310" i="19"/>
  <c r="R310" i="19"/>
  <c r="S310" i="19" s="1"/>
  <c r="P310" i="19"/>
  <c r="Q310" i="19" s="1"/>
  <c r="U309" i="19"/>
  <c r="T309" i="19"/>
  <c r="R309" i="19"/>
  <c r="S309" i="19" s="1"/>
  <c r="P309" i="19"/>
  <c r="Q309" i="19" s="1"/>
  <c r="U308" i="19"/>
  <c r="T308" i="19"/>
  <c r="R308" i="19"/>
  <c r="S308" i="19" s="1"/>
  <c r="P308" i="19"/>
  <c r="Q308" i="19" s="1"/>
  <c r="U307" i="19"/>
  <c r="T307" i="19"/>
  <c r="R307" i="19"/>
  <c r="S307" i="19" s="1"/>
  <c r="P307" i="19"/>
  <c r="Q307" i="19" s="1"/>
  <c r="U306" i="19"/>
  <c r="T306" i="19"/>
  <c r="R306" i="19"/>
  <c r="S306" i="19" s="1"/>
  <c r="P306" i="19"/>
  <c r="Q306" i="19" s="1"/>
  <c r="U305" i="19"/>
  <c r="T305" i="19"/>
  <c r="R305" i="19"/>
  <c r="S305" i="19" s="1"/>
  <c r="P305" i="19"/>
  <c r="Q305" i="19" s="1"/>
  <c r="U304" i="19"/>
  <c r="T304" i="19"/>
  <c r="R304" i="19"/>
  <c r="S304" i="19" s="1"/>
  <c r="P304" i="19"/>
  <c r="Q304" i="19" s="1"/>
  <c r="U303" i="19"/>
  <c r="T303" i="19"/>
  <c r="R303" i="19"/>
  <c r="S303" i="19" s="1"/>
  <c r="P303" i="19"/>
  <c r="Q303" i="19" s="1"/>
  <c r="U302" i="19"/>
  <c r="T302" i="19"/>
  <c r="R302" i="19"/>
  <c r="S302" i="19" s="1"/>
  <c r="P302" i="19"/>
  <c r="Q302" i="19" s="1"/>
  <c r="U301" i="19"/>
  <c r="T301" i="19"/>
  <c r="R301" i="19"/>
  <c r="S301" i="19" s="1"/>
  <c r="P301" i="19"/>
  <c r="Q301" i="19" s="1"/>
  <c r="U300" i="19"/>
  <c r="T300" i="19"/>
  <c r="R300" i="19"/>
  <c r="S300" i="19" s="1"/>
  <c r="P300" i="19"/>
  <c r="Q300" i="19" s="1"/>
  <c r="U299" i="19"/>
  <c r="T299" i="19"/>
  <c r="R299" i="19"/>
  <c r="S299" i="19" s="1"/>
  <c r="P299" i="19"/>
  <c r="Q299" i="19" s="1"/>
  <c r="U298" i="19"/>
  <c r="T298" i="19"/>
  <c r="R298" i="19"/>
  <c r="S298" i="19" s="1"/>
  <c r="P298" i="19"/>
  <c r="Q298" i="19" s="1"/>
  <c r="U297" i="19"/>
  <c r="T297" i="19"/>
  <c r="R297" i="19"/>
  <c r="S297" i="19" s="1"/>
  <c r="P297" i="19"/>
  <c r="Q297" i="19" s="1"/>
  <c r="U296" i="19"/>
  <c r="T296" i="19"/>
  <c r="R296" i="19"/>
  <c r="S296" i="19" s="1"/>
  <c r="P296" i="19"/>
  <c r="Q296" i="19" s="1"/>
  <c r="U295" i="19"/>
  <c r="T295" i="19"/>
  <c r="R295" i="19"/>
  <c r="S295" i="19" s="1"/>
  <c r="P295" i="19"/>
  <c r="Q295" i="19" s="1"/>
  <c r="U294" i="19"/>
  <c r="T294" i="19"/>
  <c r="R294" i="19"/>
  <c r="S294" i="19" s="1"/>
  <c r="P294" i="19"/>
  <c r="Q294" i="19" s="1"/>
  <c r="U293" i="19"/>
  <c r="T293" i="19"/>
  <c r="R293" i="19"/>
  <c r="S293" i="19" s="1"/>
  <c r="P293" i="19"/>
  <c r="Q293" i="19" s="1"/>
  <c r="U292" i="19"/>
  <c r="T292" i="19"/>
  <c r="R292" i="19"/>
  <c r="S292" i="19" s="1"/>
  <c r="P292" i="19"/>
  <c r="Q292" i="19" s="1"/>
  <c r="U291" i="19"/>
  <c r="T291" i="19"/>
  <c r="R291" i="19"/>
  <c r="S291" i="19" s="1"/>
  <c r="P291" i="19"/>
  <c r="Q291" i="19" s="1"/>
  <c r="U290" i="19"/>
  <c r="T290" i="19"/>
  <c r="R290" i="19"/>
  <c r="S290" i="19" s="1"/>
  <c r="P290" i="19"/>
  <c r="Q290" i="19" s="1"/>
  <c r="U289" i="19"/>
  <c r="T289" i="19"/>
  <c r="R289" i="19"/>
  <c r="S289" i="19" s="1"/>
  <c r="P289" i="19"/>
  <c r="Q289" i="19" s="1"/>
  <c r="U288" i="19"/>
  <c r="T288" i="19"/>
  <c r="R288" i="19"/>
  <c r="S288" i="19" s="1"/>
  <c r="P288" i="19"/>
  <c r="Q288" i="19" s="1"/>
  <c r="U287" i="19"/>
  <c r="T287" i="19"/>
  <c r="R287" i="19"/>
  <c r="S287" i="19" s="1"/>
  <c r="P287" i="19"/>
  <c r="Q287" i="19" s="1"/>
  <c r="U286" i="19"/>
  <c r="T286" i="19"/>
  <c r="R286" i="19"/>
  <c r="S286" i="19" s="1"/>
  <c r="P286" i="19"/>
  <c r="Q286" i="19" s="1"/>
  <c r="U285" i="19"/>
  <c r="T285" i="19"/>
  <c r="R285" i="19"/>
  <c r="S285" i="19" s="1"/>
  <c r="P285" i="19"/>
  <c r="Q285" i="19" s="1"/>
  <c r="U284" i="19"/>
  <c r="T284" i="19"/>
  <c r="R284" i="19"/>
  <c r="S284" i="19" s="1"/>
  <c r="P284" i="19"/>
  <c r="Q284" i="19" s="1"/>
  <c r="U283" i="19"/>
  <c r="T283" i="19"/>
  <c r="R283" i="19"/>
  <c r="S283" i="19" s="1"/>
  <c r="P283" i="19"/>
  <c r="Q283" i="19" s="1"/>
  <c r="U282" i="19"/>
  <c r="T282" i="19"/>
  <c r="R282" i="19"/>
  <c r="S282" i="19" s="1"/>
  <c r="P282" i="19"/>
  <c r="Q282" i="19" s="1"/>
  <c r="U281" i="19"/>
  <c r="T281" i="19"/>
  <c r="R281" i="19"/>
  <c r="S281" i="19" s="1"/>
  <c r="P281" i="19"/>
  <c r="Q281" i="19" s="1"/>
  <c r="U280" i="19"/>
  <c r="T280" i="19"/>
  <c r="R280" i="19"/>
  <c r="S280" i="19" s="1"/>
  <c r="P280" i="19"/>
  <c r="Q280" i="19" s="1"/>
  <c r="U279" i="19"/>
  <c r="T279" i="19"/>
  <c r="R279" i="19"/>
  <c r="S279" i="19" s="1"/>
  <c r="P279" i="19"/>
  <c r="Q279" i="19" s="1"/>
  <c r="U278" i="19"/>
  <c r="T278" i="19"/>
  <c r="R278" i="19"/>
  <c r="S278" i="19" s="1"/>
  <c r="P278" i="19"/>
  <c r="Q278" i="19" s="1"/>
  <c r="U277" i="19"/>
  <c r="T277" i="19"/>
  <c r="R277" i="19"/>
  <c r="S277" i="19" s="1"/>
  <c r="P277" i="19"/>
  <c r="Q277" i="19" s="1"/>
  <c r="U276" i="19"/>
  <c r="T276" i="19"/>
  <c r="R276" i="19"/>
  <c r="S276" i="19" s="1"/>
  <c r="P276" i="19"/>
  <c r="Q276" i="19" s="1"/>
  <c r="U275" i="19"/>
  <c r="T275" i="19"/>
  <c r="R275" i="19"/>
  <c r="S275" i="19" s="1"/>
  <c r="P275" i="19"/>
  <c r="Q275" i="19" s="1"/>
  <c r="U274" i="19"/>
  <c r="T274" i="19"/>
  <c r="R274" i="19"/>
  <c r="S274" i="19" s="1"/>
  <c r="P274" i="19"/>
  <c r="Q274" i="19" s="1"/>
  <c r="U273" i="19"/>
  <c r="T273" i="19"/>
  <c r="R273" i="19"/>
  <c r="S273" i="19" s="1"/>
  <c r="P273" i="19"/>
  <c r="Q273" i="19" s="1"/>
  <c r="U272" i="19"/>
  <c r="T272" i="19"/>
  <c r="R272" i="19"/>
  <c r="S272" i="19" s="1"/>
  <c r="P272" i="19"/>
  <c r="Q272" i="19" s="1"/>
  <c r="U271" i="19"/>
  <c r="T271" i="19"/>
  <c r="R271" i="19"/>
  <c r="S271" i="19" s="1"/>
  <c r="P271" i="19"/>
  <c r="Q271" i="19" s="1"/>
  <c r="U270" i="19"/>
  <c r="T270" i="19"/>
  <c r="R270" i="19"/>
  <c r="S270" i="19" s="1"/>
  <c r="P270" i="19"/>
  <c r="Q270" i="19" s="1"/>
  <c r="U269" i="19"/>
  <c r="T269" i="19"/>
  <c r="R269" i="19"/>
  <c r="S269" i="19" s="1"/>
  <c r="P269" i="19"/>
  <c r="Q269" i="19" s="1"/>
  <c r="U268" i="19"/>
  <c r="T268" i="19"/>
  <c r="R268" i="19"/>
  <c r="S268" i="19" s="1"/>
  <c r="P268" i="19"/>
  <c r="Q268" i="19" s="1"/>
  <c r="U267" i="19"/>
  <c r="T267" i="19"/>
  <c r="R267" i="19"/>
  <c r="S267" i="19" s="1"/>
  <c r="P267" i="19"/>
  <c r="Q267" i="19" s="1"/>
  <c r="U266" i="19"/>
  <c r="T266" i="19"/>
  <c r="R266" i="19"/>
  <c r="S266" i="19" s="1"/>
  <c r="P266" i="19"/>
  <c r="Q266" i="19" s="1"/>
  <c r="U265" i="19"/>
  <c r="T265" i="19"/>
  <c r="R265" i="19"/>
  <c r="S265" i="19" s="1"/>
  <c r="P265" i="19"/>
  <c r="Q265" i="19" s="1"/>
  <c r="U264" i="19"/>
  <c r="T264" i="19"/>
  <c r="R264" i="19"/>
  <c r="S264" i="19" s="1"/>
  <c r="P264" i="19"/>
  <c r="Q264" i="19" s="1"/>
  <c r="U263" i="19"/>
  <c r="T263" i="19"/>
  <c r="R263" i="19"/>
  <c r="S263" i="19" s="1"/>
  <c r="P263" i="19"/>
  <c r="Q263" i="19" s="1"/>
  <c r="U262" i="19"/>
  <c r="T262" i="19"/>
  <c r="R262" i="19"/>
  <c r="S262" i="19" s="1"/>
  <c r="P262" i="19"/>
  <c r="Q262" i="19" s="1"/>
  <c r="U261" i="19"/>
  <c r="T261" i="19"/>
  <c r="R261" i="19"/>
  <c r="S261" i="19" s="1"/>
  <c r="P261" i="19"/>
  <c r="Q261" i="19" s="1"/>
  <c r="U260" i="19"/>
  <c r="T260" i="19"/>
  <c r="R260" i="19"/>
  <c r="S260" i="19" s="1"/>
  <c r="P260" i="19"/>
  <c r="Q260" i="19" s="1"/>
  <c r="U259" i="19"/>
  <c r="T259" i="19"/>
  <c r="R259" i="19"/>
  <c r="S259" i="19" s="1"/>
  <c r="P259" i="19"/>
  <c r="Q259" i="19" s="1"/>
  <c r="U258" i="19"/>
  <c r="T258" i="19"/>
  <c r="R258" i="19"/>
  <c r="S258" i="19" s="1"/>
  <c r="P258" i="19"/>
  <c r="Q258" i="19" s="1"/>
  <c r="U257" i="19"/>
  <c r="T257" i="19"/>
  <c r="R257" i="19"/>
  <c r="S257" i="19" s="1"/>
  <c r="P257" i="19"/>
  <c r="Q257" i="19" s="1"/>
  <c r="U256" i="19"/>
  <c r="T256" i="19"/>
  <c r="R256" i="19"/>
  <c r="S256" i="19" s="1"/>
  <c r="P256" i="19"/>
  <c r="Q256" i="19" s="1"/>
  <c r="U255" i="19"/>
  <c r="T255" i="19"/>
  <c r="R255" i="19"/>
  <c r="S255" i="19" s="1"/>
  <c r="P255" i="19"/>
  <c r="Q255" i="19" s="1"/>
  <c r="U254" i="19"/>
  <c r="T254" i="19"/>
  <c r="R254" i="19"/>
  <c r="S254" i="19" s="1"/>
  <c r="P254" i="19"/>
  <c r="Q254" i="19" s="1"/>
  <c r="U253" i="19"/>
  <c r="T253" i="19"/>
  <c r="R253" i="19"/>
  <c r="S253" i="19" s="1"/>
  <c r="P253" i="19"/>
  <c r="Q253" i="19" s="1"/>
  <c r="U252" i="19"/>
  <c r="T252" i="19"/>
  <c r="R252" i="19"/>
  <c r="S252" i="19" s="1"/>
  <c r="P252" i="19"/>
  <c r="Q252" i="19" s="1"/>
  <c r="U251" i="19"/>
  <c r="T251" i="19"/>
  <c r="R251" i="19"/>
  <c r="S251" i="19" s="1"/>
  <c r="P251" i="19"/>
  <c r="Q251" i="19" s="1"/>
  <c r="U250" i="19"/>
  <c r="T250" i="19"/>
  <c r="R250" i="19"/>
  <c r="S250" i="19" s="1"/>
  <c r="P250" i="19"/>
  <c r="Q250" i="19" s="1"/>
  <c r="U249" i="19"/>
  <c r="T249" i="19"/>
  <c r="R249" i="19"/>
  <c r="S249" i="19" s="1"/>
  <c r="P249" i="19"/>
  <c r="Q249" i="19" s="1"/>
  <c r="U248" i="19"/>
  <c r="T248" i="19"/>
  <c r="R248" i="19"/>
  <c r="S248" i="19" s="1"/>
  <c r="P248" i="19"/>
  <c r="Q248" i="19" s="1"/>
  <c r="U247" i="19"/>
  <c r="T247" i="19"/>
  <c r="R247" i="19"/>
  <c r="S247" i="19" s="1"/>
  <c r="P247" i="19"/>
  <c r="Q247" i="19" s="1"/>
  <c r="U246" i="19"/>
  <c r="T246" i="19"/>
  <c r="R246" i="19"/>
  <c r="S246" i="19" s="1"/>
  <c r="P246" i="19"/>
  <c r="Q246" i="19" s="1"/>
  <c r="U245" i="19"/>
  <c r="T245" i="19"/>
  <c r="R245" i="19"/>
  <c r="S245" i="19" s="1"/>
  <c r="P245" i="19"/>
  <c r="Q245" i="19" s="1"/>
  <c r="U244" i="19"/>
  <c r="T244" i="19"/>
  <c r="R244" i="19"/>
  <c r="S244" i="19" s="1"/>
  <c r="P244" i="19"/>
  <c r="Q244" i="19" s="1"/>
  <c r="U243" i="19"/>
  <c r="T243" i="19"/>
  <c r="R243" i="19"/>
  <c r="S243" i="19" s="1"/>
  <c r="P243" i="19"/>
  <c r="Q243" i="19" s="1"/>
  <c r="U242" i="19"/>
  <c r="T242" i="19"/>
  <c r="R242" i="19"/>
  <c r="S242" i="19" s="1"/>
  <c r="P242" i="19"/>
  <c r="Q242" i="19" s="1"/>
  <c r="U241" i="19"/>
  <c r="T241" i="19"/>
  <c r="R241" i="19"/>
  <c r="S241" i="19" s="1"/>
  <c r="P241" i="19"/>
  <c r="Q241" i="19" s="1"/>
  <c r="U240" i="19"/>
  <c r="T240" i="19"/>
  <c r="R240" i="19"/>
  <c r="S240" i="19" s="1"/>
  <c r="P240" i="19"/>
  <c r="Q240" i="19" s="1"/>
  <c r="U239" i="19"/>
  <c r="T239" i="19"/>
  <c r="R239" i="19"/>
  <c r="S239" i="19" s="1"/>
  <c r="P239" i="19"/>
  <c r="Q239" i="19" s="1"/>
  <c r="U238" i="19"/>
  <c r="T238" i="19"/>
  <c r="R238" i="19"/>
  <c r="S238" i="19" s="1"/>
  <c r="P238" i="19"/>
  <c r="Q238" i="19" s="1"/>
  <c r="U237" i="19"/>
  <c r="T237" i="19"/>
  <c r="R237" i="19"/>
  <c r="S237" i="19" s="1"/>
  <c r="P237" i="19"/>
  <c r="Q237" i="19" s="1"/>
  <c r="U236" i="19"/>
  <c r="T236" i="19"/>
  <c r="R236" i="19"/>
  <c r="S236" i="19" s="1"/>
  <c r="P236" i="19"/>
  <c r="Q236" i="19" s="1"/>
  <c r="U235" i="19"/>
  <c r="T235" i="19"/>
  <c r="R235" i="19"/>
  <c r="S235" i="19" s="1"/>
  <c r="P235" i="19"/>
  <c r="Q235" i="19" s="1"/>
  <c r="U234" i="19"/>
  <c r="T234" i="19"/>
  <c r="R234" i="19"/>
  <c r="S234" i="19" s="1"/>
  <c r="P234" i="19"/>
  <c r="Q234" i="19" s="1"/>
  <c r="U233" i="19"/>
  <c r="T233" i="19"/>
  <c r="R233" i="19"/>
  <c r="S233" i="19" s="1"/>
  <c r="P233" i="19"/>
  <c r="Q233" i="19" s="1"/>
  <c r="U232" i="19"/>
  <c r="T232" i="19"/>
  <c r="R232" i="19"/>
  <c r="S232" i="19" s="1"/>
  <c r="P232" i="19"/>
  <c r="Q232" i="19" s="1"/>
  <c r="U231" i="19"/>
  <c r="T231" i="19"/>
  <c r="R231" i="19"/>
  <c r="S231" i="19" s="1"/>
  <c r="P231" i="19"/>
  <c r="Q231" i="19" s="1"/>
  <c r="U230" i="19"/>
  <c r="T230" i="19"/>
  <c r="R230" i="19"/>
  <c r="S230" i="19" s="1"/>
  <c r="P230" i="19"/>
  <c r="Q230" i="19" s="1"/>
  <c r="U229" i="19"/>
  <c r="T229" i="19"/>
  <c r="R229" i="19"/>
  <c r="S229" i="19" s="1"/>
  <c r="P229" i="19"/>
  <c r="Q229" i="19" s="1"/>
  <c r="U228" i="19"/>
  <c r="T228" i="19"/>
  <c r="R228" i="19"/>
  <c r="S228" i="19" s="1"/>
  <c r="P228" i="19"/>
  <c r="Q228" i="19" s="1"/>
  <c r="U227" i="19"/>
  <c r="T227" i="19"/>
  <c r="R227" i="19"/>
  <c r="S227" i="19" s="1"/>
  <c r="P227" i="19"/>
  <c r="Q227" i="19" s="1"/>
  <c r="U226" i="19"/>
  <c r="T226" i="19"/>
  <c r="R226" i="19"/>
  <c r="S226" i="19" s="1"/>
  <c r="P226" i="19"/>
  <c r="Q226" i="19" s="1"/>
  <c r="U225" i="19"/>
  <c r="T225" i="19"/>
  <c r="R225" i="19"/>
  <c r="S225" i="19" s="1"/>
  <c r="P225" i="19"/>
  <c r="Q225" i="19" s="1"/>
  <c r="U224" i="19"/>
  <c r="T224" i="19"/>
  <c r="R224" i="19"/>
  <c r="S224" i="19" s="1"/>
  <c r="P224" i="19"/>
  <c r="Q224" i="19" s="1"/>
  <c r="U223" i="19"/>
  <c r="T223" i="19"/>
  <c r="R223" i="19"/>
  <c r="S223" i="19" s="1"/>
  <c r="P223" i="19"/>
  <c r="Q223" i="19" s="1"/>
  <c r="U222" i="19"/>
  <c r="T222" i="19"/>
  <c r="R222" i="19"/>
  <c r="S222" i="19" s="1"/>
  <c r="P222" i="19"/>
  <c r="Q222" i="19" s="1"/>
  <c r="U221" i="19"/>
  <c r="T221" i="19"/>
  <c r="R221" i="19"/>
  <c r="S221" i="19" s="1"/>
  <c r="P221" i="19"/>
  <c r="Q221" i="19" s="1"/>
  <c r="U220" i="19"/>
  <c r="T220" i="19"/>
  <c r="R220" i="19"/>
  <c r="S220" i="19" s="1"/>
  <c r="P220" i="19"/>
  <c r="Q220" i="19" s="1"/>
  <c r="U219" i="19"/>
  <c r="T219" i="19"/>
  <c r="R219" i="19"/>
  <c r="S219" i="19" s="1"/>
  <c r="P219" i="19"/>
  <c r="Q219" i="19" s="1"/>
  <c r="U218" i="19"/>
  <c r="T218" i="19"/>
  <c r="R218" i="19"/>
  <c r="S218" i="19" s="1"/>
  <c r="P218" i="19"/>
  <c r="Q218" i="19" s="1"/>
  <c r="U217" i="19"/>
  <c r="T217" i="19"/>
  <c r="R217" i="19"/>
  <c r="S217" i="19" s="1"/>
  <c r="P217" i="19"/>
  <c r="Q217" i="19" s="1"/>
  <c r="U216" i="19"/>
  <c r="T216" i="19"/>
  <c r="R216" i="19"/>
  <c r="S216" i="19" s="1"/>
  <c r="P216" i="19"/>
  <c r="Q216" i="19" s="1"/>
  <c r="U215" i="19"/>
  <c r="T215" i="19"/>
  <c r="R215" i="19"/>
  <c r="S215" i="19" s="1"/>
  <c r="P215" i="19"/>
  <c r="Q215" i="19" s="1"/>
  <c r="U214" i="19"/>
  <c r="T214" i="19"/>
  <c r="R214" i="19"/>
  <c r="S214" i="19" s="1"/>
  <c r="P214" i="19"/>
  <c r="Q214" i="19" s="1"/>
  <c r="U213" i="19"/>
  <c r="T213" i="19"/>
  <c r="R213" i="19"/>
  <c r="S213" i="19" s="1"/>
  <c r="P213" i="19"/>
  <c r="Q213" i="19" s="1"/>
  <c r="U212" i="19"/>
  <c r="T212" i="19"/>
  <c r="R212" i="19"/>
  <c r="S212" i="19" s="1"/>
  <c r="P212" i="19"/>
  <c r="Q212" i="19" s="1"/>
  <c r="U211" i="19"/>
  <c r="T211" i="19"/>
  <c r="R211" i="19"/>
  <c r="S211" i="19" s="1"/>
  <c r="P211" i="19"/>
  <c r="Q211" i="19" s="1"/>
  <c r="U210" i="19"/>
  <c r="T210" i="19"/>
  <c r="R210" i="19"/>
  <c r="S210" i="19" s="1"/>
  <c r="P210" i="19"/>
  <c r="Q210" i="19" s="1"/>
  <c r="U209" i="19"/>
  <c r="T209" i="19"/>
  <c r="R209" i="19"/>
  <c r="S209" i="19" s="1"/>
  <c r="P209" i="19"/>
  <c r="Q209" i="19" s="1"/>
  <c r="U208" i="19"/>
  <c r="T208" i="19"/>
  <c r="R208" i="19"/>
  <c r="S208" i="19" s="1"/>
  <c r="P208" i="19"/>
  <c r="Q208" i="19" s="1"/>
  <c r="U207" i="19"/>
  <c r="T207" i="19"/>
  <c r="R207" i="19"/>
  <c r="S207" i="19" s="1"/>
  <c r="P207" i="19"/>
  <c r="Q207" i="19" s="1"/>
  <c r="U206" i="19"/>
  <c r="T206" i="19"/>
  <c r="R206" i="19"/>
  <c r="S206" i="19" s="1"/>
  <c r="P206" i="19"/>
  <c r="Q206" i="19" s="1"/>
  <c r="U205" i="19"/>
  <c r="T205" i="19"/>
  <c r="R205" i="19"/>
  <c r="S205" i="19" s="1"/>
  <c r="P205" i="19"/>
  <c r="Q205" i="19" s="1"/>
  <c r="U204" i="19"/>
  <c r="T204" i="19"/>
  <c r="R204" i="19"/>
  <c r="S204" i="19" s="1"/>
  <c r="P204" i="19"/>
  <c r="Q204" i="19" s="1"/>
  <c r="U203" i="19"/>
  <c r="T203" i="19"/>
  <c r="R203" i="19"/>
  <c r="S203" i="19" s="1"/>
  <c r="P203" i="19"/>
  <c r="Q203" i="19" s="1"/>
  <c r="U202" i="19"/>
  <c r="T202" i="19"/>
  <c r="R202" i="19"/>
  <c r="S202" i="19" s="1"/>
  <c r="P202" i="19"/>
  <c r="Q202" i="19" s="1"/>
  <c r="U201" i="19"/>
  <c r="T201" i="19"/>
  <c r="R201" i="19"/>
  <c r="S201" i="19" s="1"/>
  <c r="P201" i="19"/>
  <c r="Q201" i="19" s="1"/>
  <c r="U200" i="19"/>
  <c r="T200" i="19"/>
  <c r="R200" i="19"/>
  <c r="S200" i="19" s="1"/>
  <c r="P200" i="19"/>
  <c r="Q200" i="19" s="1"/>
  <c r="U199" i="19"/>
  <c r="T199" i="19"/>
  <c r="R199" i="19"/>
  <c r="S199" i="19" s="1"/>
  <c r="P199" i="19"/>
  <c r="Q199" i="19" s="1"/>
  <c r="U198" i="19"/>
  <c r="T198" i="19"/>
  <c r="R198" i="19"/>
  <c r="S198" i="19" s="1"/>
  <c r="P198" i="19"/>
  <c r="Q198" i="19" s="1"/>
  <c r="U197" i="19"/>
  <c r="T197" i="19"/>
  <c r="R197" i="19"/>
  <c r="S197" i="19" s="1"/>
  <c r="P197" i="19"/>
  <c r="Q197" i="19" s="1"/>
  <c r="U196" i="19"/>
  <c r="T196" i="19"/>
  <c r="R196" i="19"/>
  <c r="S196" i="19" s="1"/>
  <c r="P196" i="19"/>
  <c r="Q196" i="19" s="1"/>
  <c r="U195" i="19"/>
  <c r="T195" i="19"/>
  <c r="R195" i="19"/>
  <c r="S195" i="19" s="1"/>
  <c r="P195" i="19"/>
  <c r="Q195" i="19" s="1"/>
  <c r="U194" i="19"/>
  <c r="T194" i="19"/>
  <c r="R194" i="19"/>
  <c r="S194" i="19" s="1"/>
  <c r="P194" i="19"/>
  <c r="Q194" i="19" s="1"/>
  <c r="U193" i="19"/>
  <c r="T193" i="19"/>
  <c r="R193" i="19"/>
  <c r="S193" i="19" s="1"/>
  <c r="P193" i="19"/>
  <c r="Q193" i="19" s="1"/>
  <c r="U192" i="19"/>
  <c r="T192" i="19"/>
  <c r="R192" i="19"/>
  <c r="S192" i="19" s="1"/>
  <c r="P192" i="19"/>
  <c r="Q192" i="19" s="1"/>
  <c r="U191" i="19"/>
  <c r="T191" i="19"/>
  <c r="R191" i="19"/>
  <c r="S191" i="19" s="1"/>
  <c r="P191" i="19"/>
  <c r="Q191" i="19" s="1"/>
  <c r="U190" i="19"/>
  <c r="T190" i="19"/>
  <c r="R190" i="19"/>
  <c r="S190" i="19" s="1"/>
  <c r="P190" i="19"/>
  <c r="Q190" i="19" s="1"/>
  <c r="U189" i="19"/>
  <c r="T189" i="19"/>
  <c r="R189" i="19"/>
  <c r="S189" i="19" s="1"/>
  <c r="P189" i="19"/>
  <c r="Q189" i="19" s="1"/>
  <c r="U188" i="19"/>
  <c r="T188" i="19"/>
  <c r="R188" i="19"/>
  <c r="S188" i="19" s="1"/>
  <c r="P188" i="19"/>
  <c r="Q188" i="19" s="1"/>
  <c r="U187" i="19"/>
  <c r="T187" i="19"/>
  <c r="R187" i="19"/>
  <c r="S187" i="19" s="1"/>
  <c r="P187" i="19"/>
  <c r="Q187" i="19" s="1"/>
  <c r="U186" i="19"/>
  <c r="T186" i="19"/>
  <c r="R186" i="19"/>
  <c r="S186" i="19" s="1"/>
  <c r="P186" i="19"/>
  <c r="Q186" i="19" s="1"/>
  <c r="U185" i="19"/>
  <c r="T185" i="19"/>
  <c r="R185" i="19"/>
  <c r="S185" i="19" s="1"/>
  <c r="P185" i="19"/>
  <c r="Q185" i="19" s="1"/>
  <c r="U184" i="19"/>
  <c r="T184" i="19"/>
  <c r="R184" i="19"/>
  <c r="S184" i="19" s="1"/>
  <c r="P184" i="19"/>
  <c r="Q184" i="19" s="1"/>
  <c r="U183" i="19"/>
  <c r="T183" i="19"/>
  <c r="R183" i="19"/>
  <c r="S183" i="19" s="1"/>
  <c r="P183" i="19"/>
  <c r="Q183" i="19" s="1"/>
  <c r="U182" i="19"/>
  <c r="T182" i="19"/>
  <c r="R182" i="19"/>
  <c r="S182" i="19" s="1"/>
  <c r="P182" i="19"/>
  <c r="Q182" i="19" s="1"/>
  <c r="U181" i="19"/>
  <c r="T181" i="19"/>
  <c r="R181" i="19"/>
  <c r="S181" i="19" s="1"/>
  <c r="P181" i="19"/>
  <c r="Q181" i="19" s="1"/>
  <c r="U180" i="19"/>
  <c r="T180" i="19"/>
  <c r="R180" i="19"/>
  <c r="S180" i="19" s="1"/>
  <c r="P180" i="19"/>
  <c r="Q180" i="19" s="1"/>
  <c r="U179" i="19"/>
  <c r="T179" i="19"/>
  <c r="R179" i="19"/>
  <c r="S179" i="19" s="1"/>
  <c r="P179" i="19"/>
  <c r="Q179" i="19" s="1"/>
  <c r="U178" i="19"/>
  <c r="T178" i="19"/>
  <c r="R178" i="19"/>
  <c r="S178" i="19" s="1"/>
  <c r="P178" i="19"/>
  <c r="Q178" i="19" s="1"/>
  <c r="U177" i="19"/>
  <c r="T177" i="19"/>
  <c r="R177" i="19"/>
  <c r="S177" i="19" s="1"/>
  <c r="P177" i="19"/>
  <c r="Q177" i="19" s="1"/>
  <c r="U176" i="19"/>
  <c r="T176" i="19"/>
  <c r="R176" i="19"/>
  <c r="S176" i="19" s="1"/>
  <c r="P176" i="19"/>
  <c r="Q176" i="19" s="1"/>
  <c r="U175" i="19"/>
  <c r="T175" i="19"/>
  <c r="R175" i="19"/>
  <c r="S175" i="19" s="1"/>
  <c r="P175" i="19"/>
  <c r="Q175" i="19" s="1"/>
  <c r="U174" i="19"/>
  <c r="T174" i="19"/>
  <c r="R174" i="19"/>
  <c r="S174" i="19" s="1"/>
  <c r="P174" i="19"/>
  <c r="Q174" i="19" s="1"/>
  <c r="U173" i="19"/>
  <c r="T173" i="19"/>
  <c r="R173" i="19"/>
  <c r="S173" i="19" s="1"/>
  <c r="P173" i="19"/>
  <c r="Q173" i="19" s="1"/>
  <c r="U172" i="19"/>
  <c r="T172" i="19"/>
  <c r="R172" i="19"/>
  <c r="S172" i="19" s="1"/>
  <c r="P172" i="19"/>
  <c r="Q172" i="19" s="1"/>
  <c r="U171" i="19"/>
  <c r="T171" i="19"/>
  <c r="R171" i="19"/>
  <c r="S171" i="19" s="1"/>
  <c r="P171" i="19"/>
  <c r="Q171" i="19" s="1"/>
  <c r="U170" i="19"/>
  <c r="T170" i="19"/>
  <c r="R170" i="19"/>
  <c r="S170" i="19" s="1"/>
  <c r="P170" i="19"/>
  <c r="Q170" i="19" s="1"/>
  <c r="U169" i="19"/>
  <c r="T169" i="19"/>
  <c r="R169" i="19"/>
  <c r="S169" i="19" s="1"/>
  <c r="P169" i="19"/>
  <c r="Q169" i="19" s="1"/>
  <c r="U168" i="19"/>
  <c r="T168" i="19"/>
  <c r="R168" i="19"/>
  <c r="S168" i="19" s="1"/>
  <c r="P168" i="19"/>
  <c r="Q168" i="19" s="1"/>
  <c r="U167" i="19"/>
  <c r="T167" i="19"/>
  <c r="R167" i="19"/>
  <c r="S167" i="19" s="1"/>
  <c r="P167" i="19"/>
  <c r="Q167" i="19" s="1"/>
  <c r="U166" i="19"/>
  <c r="T166" i="19"/>
  <c r="R166" i="19"/>
  <c r="S166" i="19" s="1"/>
  <c r="P166" i="19"/>
  <c r="Q166" i="19" s="1"/>
  <c r="U165" i="19"/>
  <c r="T165" i="19"/>
  <c r="R165" i="19"/>
  <c r="S165" i="19" s="1"/>
  <c r="P165" i="19"/>
  <c r="Q165" i="19" s="1"/>
  <c r="U164" i="19"/>
  <c r="T164" i="19"/>
  <c r="R164" i="19"/>
  <c r="S164" i="19" s="1"/>
  <c r="P164" i="19"/>
  <c r="Q164" i="19" s="1"/>
  <c r="U163" i="19"/>
  <c r="T163" i="19"/>
  <c r="R163" i="19"/>
  <c r="S163" i="19" s="1"/>
  <c r="P163" i="19"/>
  <c r="Q163" i="19" s="1"/>
  <c r="U162" i="19"/>
  <c r="T162" i="19"/>
  <c r="R162" i="19"/>
  <c r="S162" i="19" s="1"/>
  <c r="P162" i="19"/>
  <c r="Q162" i="19" s="1"/>
  <c r="U161" i="19"/>
  <c r="T161" i="19"/>
  <c r="R161" i="19"/>
  <c r="S161" i="19" s="1"/>
  <c r="P161" i="19"/>
  <c r="Q161" i="19" s="1"/>
  <c r="U160" i="19"/>
  <c r="T160" i="19"/>
  <c r="R160" i="19"/>
  <c r="S160" i="19" s="1"/>
  <c r="P160" i="19"/>
  <c r="Q160" i="19" s="1"/>
  <c r="U159" i="19"/>
  <c r="T159" i="19"/>
  <c r="R159" i="19"/>
  <c r="S159" i="19" s="1"/>
  <c r="P159" i="19"/>
  <c r="Q159" i="19" s="1"/>
  <c r="U158" i="19"/>
  <c r="T158" i="19"/>
  <c r="R158" i="19"/>
  <c r="S158" i="19" s="1"/>
  <c r="P158" i="19"/>
  <c r="Q158" i="19" s="1"/>
  <c r="U157" i="19"/>
  <c r="T157" i="19"/>
  <c r="R157" i="19"/>
  <c r="S157" i="19" s="1"/>
  <c r="P157" i="19"/>
  <c r="Q157" i="19" s="1"/>
  <c r="U156" i="19"/>
  <c r="T156" i="19"/>
  <c r="R156" i="19"/>
  <c r="S156" i="19" s="1"/>
  <c r="P156" i="19"/>
  <c r="Q156" i="19" s="1"/>
  <c r="U155" i="19"/>
  <c r="T155" i="19"/>
  <c r="R155" i="19"/>
  <c r="S155" i="19" s="1"/>
  <c r="P155" i="19"/>
  <c r="Q155" i="19" s="1"/>
  <c r="U154" i="19"/>
  <c r="T154" i="19"/>
  <c r="R154" i="19"/>
  <c r="S154" i="19" s="1"/>
  <c r="P154" i="19"/>
  <c r="Q154" i="19" s="1"/>
  <c r="U153" i="19"/>
  <c r="T153" i="19"/>
  <c r="R153" i="19"/>
  <c r="S153" i="19" s="1"/>
  <c r="P153" i="19"/>
  <c r="Q153" i="19" s="1"/>
  <c r="U152" i="19"/>
  <c r="T152" i="19"/>
  <c r="R152" i="19"/>
  <c r="S152" i="19" s="1"/>
  <c r="P152" i="19"/>
  <c r="Q152" i="19" s="1"/>
  <c r="U151" i="19"/>
  <c r="T151" i="19"/>
  <c r="R151" i="19"/>
  <c r="S151" i="19" s="1"/>
  <c r="P151" i="19"/>
  <c r="Q151" i="19" s="1"/>
  <c r="U150" i="19"/>
  <c r="T150" i="19"/>
  <c r="R150" i="19"/>
  <c r="S150" i="19" s="1"/>
  <c r="P150" i="19"/>
  <c r="Q150" i="19" s="1"/>
  <c r="U149" i="19"/>
  <c r="T149" i="19"/>
  <c r="R149" i="19"/>
  <c r="S149" i="19" s="1"/>
  <c r="P149" i="19"/>
  <c r="Q149" i="19" s="1"/>
  <c r="U148" i="19"/>
  <c r="T148" i="19"/>
  <c r="R148" i="19"/>
  <c r="S148" i="19" s="1"/>
  <c r="P148" i="19"/>
  <c r="Q148" i="19" s="1"/>
  <c r="U147" i="19"/>
  <c r="T147" i="19"/>
  <c r="R147" i="19"/>
  <c r="S147" i="19" s="1"/>
  <c r="P147" i="19"/>
  <c r="Q147" i="19" s="1"/>
  <c r="U146" i="19"/>
  <c r="T146" i="19"/>
  <c r="R146" i="19"/>
  <c r="S146" i="19" s="1"/>
  <c r="P146" i="19"/>
  <c r="Q146" i="19" s="1"/>
  <c r="U145" i="19"/>
  <c r="T145" i="19"/>
  <c r="R145" i="19"/>
  <c r="S145" i="19" s="1"/>
  <c r="P145" i="19"/>
  <c r="Q145" i="19" s="1"/>
  <c r="U144" i="19"/>
  <c r="T144" i="19"/>
  <c r="R144" i="19"/>
  <c r="S144" i="19" s="1"/>
  <c r="P144" i="19"/>
  <c r="Q144" i="19" s="1"/>
  <c r="U143" i="19"/>
  <c r="T143" i="19"/>
  <c r="R143" i="19"/>
  <c r="S143" i="19" s="1"/>
  <c r="P143" i="19"/>
  <c r="Q143" i="19" s="1"/>
  <c r="U142" i="19"/>
  <c r="T142" i="19"/>
  <c r="R142" i="19"/>
  <c r="S142" i="19" s="1"/>
  <c r="P142" i="19"/>
  <c r="Q142" i="19" s="1"/>
  <c r="U141" i="19"/>
  <c r="T141" i="19"/>
  <c r="R141" i="19"/>
  <c r="S141" i="19" s="1"/>
  <c r="P141" i="19"/>
  <c r="Q141" i="19" s="1"/>
  <c r="U140" i="19"/>
  <c r="T140" i="19"/>
  <c r="R140" i="19"/>
  <c r="S140" i="19" s="1"/>
  <c r="P140" i="19"/>
  <c r="Q140" i="19" s="1"/>
  <c r="U139" i="19"/>
  <c r="T139" i="19"/>
  <c r="R139" i="19"/>
  <c r="S139" i="19" s="1"/>
  <c r="P139" i="19"/>
  <c r="Q139" i="19" s="1"/>
  <c r="U138" i="19"/>
  <c r="T138" i="19"/>
  <c r="R138" i="19"/>
  <c r="S138" i="19" s="1"/>
  <c r="P138" i="19"/>
  <c r="Q138" i="19" s="1"/>
  <c r="U137" i="19"/>
  <c r="T137" i="19"/>
  <c r="R137" i="19"/>
  <c r="S137" i="19" s="1"/>
  <c r="P137" i="19"/>
  <c r="Q137" i="19" s="1"/>
  <c r="U136" i="19"/>
  <c r="T136" i="19"/>
  <c r="R136" i="19"/>
  <c r="S136" i="19" s="1"/>
  <c r="P136" i="19"/>
  <c r="Q136" i="19" s="1"/>
  <c r="U135" i="19"/>
  <c r="T135" i="19"/>
  <c r="R135" i="19"/>
  <c r="S135" i="19" s="1"/>
  <c r="P135" i="19"/>
  <c r="Q135" i="19" s="1"/>
  <c r="U134" i="19"/>
  <c r="T134" i="19"/>
  <c r="R134" i="19"/>
  <c r="S134" i="19" s="1"/>
  <c r="P134" i="19"/>
  <c r="Q134" i="19" s="1"/>
  <c r="U133" i="19"/>
  <c r="T133" i="19"/>
  <c r="R133" i="19"/>
  <c r="S133" i="19" s="1"/>
  <c r="P133" i="19"/>
  <c r="Q133" i="19" s="1"/>
  <c r="U132" i="19"/>
  <c r="T132" i="19"/>
  <c r="R132" i="19"/>
  <c r="S132" i="19" s="1"/>
  <c r="P132" i="19"/>
  <c r="Q132" i="19" s="1"/>
  <c r="U131" i="19"/>
  <c r="T131" i="19"/>
  <c r="R131" i="19"/>
  <c r="S131" i="19" s="1"/>
  <c r="P131" i="19"/>
  <c r="Q131" i="19" s="1"/>
  <c r="U130" i="19"/>
  <c r="T130" i="19"/>
  <c r="R130" i="19"/>
  <c r="S130" i="19" s="1"/>
  <c r="P130" i="19"/>
  <c r="Q130" i="19" s="1"/>
  <c r="U129" i="19"/>
  <c r="T129" i="19"/>
  <c r="R129" i="19"/>
  <c r="S129" i="19" s="1"/>
  <c r="P129" i="19"/>
  <c r="Q129" i="19" s="1"/>
  <c r="U128" i="19"/>
  <c r="T128" i="19"/>
  <c r="R128" i="19"/>
  <c r="S128" i="19" s="1"/>
  <c r="P128" i="19"/>
  <c r="Q128" i="19" s="1"/>
  <c r="U127" i="19"/>
  <c r="T127" i="19"/>
  <c r="R127" i="19"/>
  <c r="S127" i="19" s="1"/>
  <c r="P127" i="19"/>
  <c r="Q127" i="19" s="1"/>
  <c r="U126" i="19"/>
  <c r="T126" i="19"/>
  <c r="R126" i="19"/>
  <c r="S126" i="19" s="1"/>
  <c r="P126" i="19"/>
  <c r="Q126" i="19" s="1"/>
  <c r="U125" i="19"/>
  <c r="T125" i="19"/>
  <c r="R125" i="19"/>
  <c r="S125" i="19" s="1"/>
  <c r="P125" i="19"/>
  <c r="Q125" i="19" s="1"/>
  <c r="U124" i="19"/>
  <c r="T124" i="19"/>
  <c r="R124" i="19"/>
  <c r="S124" i="19" s="1"/>
  <c r="P124" i="19"/>
  <c r="Q124" i="19" s="1"/>
  <c r="U123" i="19"/>
  <c r="T123" i="19"/>
  <c r="R123" i="19"/>
  <c r="S123" i="19" s="1"/>
  <c r="P123" i="19"/>
  <c r="Q123" i="19" s="1"/>
  <c r="U122" i="19"/>
  <c r="T122" i="19"/>
  <c r="R122" i="19"/>
  <c r="S122" i="19" s="1"/>
  <c r="P122" i="19"/>
  <c r="Q122" i="19" s="1"/>
  <c r="U121" i="19"/>
  <c r="T121" i="19"/>
  <c r="R121" i="19"/>
  <c r="S121" i="19" s="1"/>
  <c r="P121" i="19"/>
  <c r="Q121" i="19" s="1"/>
  <c r="U120" i="19"/>
  <c r="T120" i="19"/>
  <c r="R120" i="19"/>
  <c r="S120" i="19" s="1"/>
  <c r="P120" i="19"/>
  <c r="Q120" i="19" s="1"/>
  <c r="U119" i="19"/>
  <c r="T119" i="19"/>
  <c r="R119" i="19"/>
  <c r="S119" i="19" s="1"/>
  <c r="P119" i="19"/>
  <c r="Q119" i="19" s="1"/>
  <c r="U118" i="19"/>
  <c r="T118" i="19"/>
  <c r="R118" i="19"/>
  <c r="S118" i="19" s="1"/>
  <c r="P118" i="19"/>
  <c r="Q118" i="19" s="1"/>
  <c r="U117" i="19"/>
  <c r="T117" i="19"/>
  <c r="R117" i="19"/>
  <c r="S117" i="19" s="1"/>
  <c r="P117" i="19"/>
  <c r="Q117" i="19" s="1"/>
  <c r="U116" i="19"/>
  <c r="T116" i="19"/>
  <c r="R116" i="19"/>
  <c r="S116" i="19" s="1"/>
  <c r="P116" i="19"/>
  <c r="Q116" i="19" s="1"/>
  <c r="U115" i="19"/>
  <c r="T115" i="19"/>
  <c r="R115" i="19"/>
  <c r="S115" i="19" s="1"/>
  <c r="P115" i="19"/>
  <c r="Q115" i="19" s="1"/>
  <c r="U114" i="19"/>
  <c r="T114" i="19"/>
  <c r="R114" i="19"/>
  <c r="S114" i="19" s="1"/>
  <c r="P114" i="19"/>
  <c r="Q114" i="19" s="1"/>
  <c r="U113" i="19"/>
  <c r="T113" i="19"/>
  <c r="R113" i="19"/>
  <c r="S113" i="19" s="1"/>
  <c r="P113" i="19"/>
  <c r="Q113" i="19" s="1"/>
  <c r="U112" i="19"/>
  <c r="T112" i="19"/>
  <c r="R112" i="19"/>
  <c r="S112" i="19" s="1"/>
  <c r="P112" i="19"/>
  <c r="Q112" i="19" s="1"/>
  <c r="U111" i="19"/>
  <c r="T111" i="19"/>
  <c r="R111" i="19"/>
  <c r="S111" i="19" s="1"/>
  <c r="P111" i="19"/>
  <c r="Q111" i="19" s="1"/>
  <c r="U110" i="19"/>
  <c r="T110" i="19"/>
  <c r="R110" i="19"/>
  <c r="S110" i="19" s="1"/>
  <c r="P110" i="19"/>
  <c r="Q110" i="19" s="1"/>
  <c r="U109" i="19"/>
  <c r="T109" i="19"/>
  <c r="R109" i="19"/>
  <c r="S109" i="19" s="1"/>
  <c r="P109" i="19"/>
  <c r="Q109" i="19" s="1"/>
  <c r="U108" i="19"/>
  <c r="T108" i="19"/>
  <c r="R108" i="19"/>
  <c r="S108" i="19" s="1"/>
  <c r="P108" i="19"/>
  <c r="Q108" i="19" s="1"/>
  <c r="U107" i="19"/>
  <c r="T107" i="19"/>
  <c r="R107" i="19"/>
  <c r="S107" i="19" s="1"/>
  <c r="P107" i="19"/>
  <c r="Q107" i="19" s="1"/>
  <c r="U106" i="19"/>
  <c r="T106" i="19"/>
  <c r="R106" i="19"/>
  <c r="S106" i="19" s="1"/>
  <c r="P106" i="19"/>
  <c r="Q106" i="19" s="1"/>
  <c r="U105" i="19"/>
  <c r="T105" i="19"/>
  <c r="R105" i="19"/>
  <c r="S105" i="19" s="1"/>
  <c r="P105" i="19"/>
  <c r="Q105" i="19" s="1"/>
  <c r="U104" i="19"/>
  <c r="T104" i="19"/>
  <c r="R104" i="19"/>
  <c r="S104" i="19" s="1"/>
  <c r="P104" i="19"/>
  <c r="Q104" i="19" s="1"/>
  <c r="U103" i="19"/>
  <c r="T103" i="19"/>
  <c r="R103" i="19"/>
  <c r="S103" i="19" s="1"/>
  <c r="P103" i="19"/>
  <c r="Q103" i="19" s="1"/>
  <c r="U102" i="19"/>
  <c r="T102" i="19"/>
  <c r="R102" i="19"/>
  <c r="S102" i="19" s="1"/>
  <c r="P102" i="19"/>
  <c r="Q102" i="19" s="1"/>
  <c r="U101" i="19"/>
  <c r="T101" i="19"/>
  <c r="R101" i="19"/>
  <c r="S101" i="19" s="1"/>
  <c r="P101" i="19"/>
  <c r="Q101" i="19" s="1"/>
  <c r="U100" i="19"/>
  <c r="T100" i="19"/>
  <c r="R100" i="19"/>
  <c r="S100" i="19" s="1"/>
  <c r="P100" i="19"/>
  <c r="Q100" i="19" s="1"/>
  <c r="U99" i="19"/>
  <c r="T99" i="19"/>
  <c r="R99" i="19"/>
  <c r="S99" i="19" s="1"/>
  <c r="P99" i="19"/>
  <c r="Q99" i="19" s="1"/>
  <c r="U98" i="19"/>
  <c r="T98" i="19"/>
  <c r="R98" i="19"/>
  <c r="S98" i="19" s="1"/>
  <c r="P98" i="19"/>
  <c r="Q98" i="19" s="1"/>
  <c r="U97" i="19"/>
  <c r="T97" i="19"/>
  <c r="R97" i="19"/>
  <c r="S97" i="19" s="1"/>
  <c r="P97" i="19"/>
  <c r="Q97" i="19" s="1"/>
  <c r="U96" i="19"/>
  <c r="T96" i="19"/>
  <c r="R96" i="19"/>
  <c r="S96" i="19" s="1"/>
  <c r="P96" i="19"/>
  <c r="Q96" i="19" s="1"/>
  <c r="U95" i="19"/>
  <c r="T95" i="19"/>
  <c r="R95" i="19"/>
  <c r="S95" i="19" s="1"/>
  <c r="P95" i="19"/>
  <c r="Q95" i="19" s="1"/>
  <c r="U94" i="19"/>
  <c r="T94" i="19"/>
  <c r="R94" i="19"/>
  <c r="S94" i="19" s="1"/>
  <c r="P94" i="19"/>
  <c r="Q94" i="19" s="1"/>
  <c r="U93" i="19"/>
  <c r="T93" i="19"/>
  <c r="R93" i="19"/>
  <c r="S93" i="19" s="1"/>
  <c r="P93" i="19"/>
  <c r="Q93" i="19" s="1"/>
  <c r="U92" i="19"/>
  <c r="T92" i="19"/>
  <c r="R92" i="19"/>
  <c r="S92" i="19" s="1"/>
  <c r="P92" i="19"/>
  <c r="Q92" i="19" s="1"/>
  <c r="U91" i="19"/>
  <c r="T91" i="19"/>
  <c r="R91" i="19"/>
  <c r="S91" i="19" s="1"/>
  <c r="P91" i="19"/>
  <c r="Q91" i="19" s="1"/>
  <c r="U90" i="19"/>
  <c r="T90" i="19"/>
  <c r="R90" i="19"/>
  <c r="S90" i="19" s="1"/>
  <c r="P90" i="19"/>
  <c r="Q90" i="19" s="1"/>
  <c r="U89" i="19"/>
  <c r="T89" i="19"/>
  <c r="R89" i="19"/>
  <c r="S89" i="19" s="1"/>
  <c r="P89" i="19"/>
  <c r="Q89" i="19" s="1"/>
  <c r="U88" i="19"/>
  <c r="T88" i="19"/>
  <c r="R88" i="19"/>
  <c r="S88" i="19" s="1"/>
  <c r="P88" i="19"/>
  <c r="Q88" i="19" s="1"/>
  <c r="U87" i="19"/>
  <c r="T87" i="19"/>
  <c r="R87" i="19"/>
  <c r="S87" i="19" s="1"/>
  <c r="P87" i="19"/>
  <c r="Q87" i="19" s="1"/>
  <c r="U86" i="19"/>
  <c r="T86" i="19"/>
  <c r="R86" i="19"/>
  <c r="S86" i="19" s="1"/>
  <c r="P86" i="19"/>
  <c r="Q86" i="19" s="1"/>
  <c r="U85" i="19"/>
  <c r="T85" i="19"/>
  <c r="R85" i="19"/>
  <c r="S85" i="19" s="1"/>
  <c r="P85" i="19"/>
  <c r="Q85" i="19" s="1"/>
  <c r="U77" i="19"/>
  <c r="T77" i="19"/>
  <c r="R77" i="19"/>
  <c r="S77" i="19" s="1"/>
  <c r="P77" i="19"/>
  <c r="Q77" i="19" s="1"/>
  <c r="U76" i="19"/>
  <c r="T76" i="19"/>
  <c r="R76" i="19"/>
  <c r="S76" i="19" s="1"/>
  <c r="P76" i="19"/>
  <c r="Q76" i="19" s="1"/>
  <c r="U69" i="19"/>
  <c r="T69" i="19"/>
  <c r="R69" i="19"/>
  <c r="S69" i="19" s="1"/>
  <c r="P69" i="19"/>
  <c r="Q69" i="19" s="1"/>
  <c r="U63" i="19"/>
  <c r="T63" i="19"/>
  <c r="R63" i="19"/>
  <c r="S63" i="19" s="1"/>
  <c r="P63" i="19"/>
  <c r="Q63" i="19" s="1"/>
  <c r="U62" i="19"/>
  <c r="T62" i="19"/>
  <c r="R62" i="19"/>
  <c r="S62" i="19" s="1"/>
  <c r="P62" i="19"/>
  <c r="Q62" i="19" s="1"/>
  <c r="U60" i="19"/>
  <c r="T60" i="19"/>
  <c r="R60" i="19"/>
  <c r="S60" i="19" s="1"/>
  <c r="P60" i="19"/>
  <c r="Q60" i="19" s="1"/>
  <c r="U49" i="19"/>
  <c r="T49" i="19"/>
  <c r="R49" i="19"/>
  <c r="S49" i="19" s="1"/>
  <c r="P49" i="19"/>
  <c r="Q49" i="19" s="1"/>
  <c r="U48" i="19"/>
  <c r="T48" i="19"/>
  <c r="R48" i="19"/>
  <c r="S48" i="19" s="1"/>
  <c r="P48" i="19"/>
  <c r="Q48" i="19" s="1"/>
  <c r="U47" i="19"/>
  <c r="T47" i="19"/>
  <c r="R47" i="19"/>
  <c r="S47" i="19" s="1"/>
  <c r="P47" i="19"/>
  <c r="Q47" i="19" s="1"/>
  <c r="U31" i="19"/>
  <c r="T31" i="19"/>
  <c r="R31" i="19"/>
  <c r="S31" i="19" s="1"/>
  <c r="P31" i="19"/>
  <c r="Q31" i="19" s="1"/>
  <c r="U30" i="19"/>
  <c r="T30" i="19"/>
  <c r="R30" i="19"/>
  <c r="S30" i="19" s="1"/>
  <c r="P30" i="19"/>
  <c r="Q30" i="19" s="1"/>
  <c r="U14" i="19"/>
  <c r="T14" i="19"/>
  <c r="R14" i="19"/>
  <c r="S14" i="19" s="1"/>
  <c r="P14" i="19"/>
  <c r="Q14" i="19" s="1"/>
  <c r="U10" i="19"/>
  <c r="T10" i="19"/>
  <c r="R10" i="19"/>
  <c r="S10" i="19" s="1"/>
  <c r="P10" i="19"/>
  <c r="Q10" i="19" s="1"/>
  <c r="U8" i="19"/>
  <c r="T8" i="19"/>
  <c r="R8" i="19"/>
  <c r="S8" i="19" s="1"/>
  <c r="P8" i="19"/>
  <c r="Q8" i="19" s="1"/>
  <c r="G15" i="19" l="1"/>
  <c r="F15" i="19"/>
  <c r="G29" i="19"/>
  <c r="F29" i="19"/>
  <c r="F23" i="19" s="1"/>
  <c r="W485" i="19"/>
  <c r="T11" i="19"/>
  <c r="X662" i="19"/>
  <c r="T84" i="19"/>
  <c r="H84" i="19"/>
  <c r="P83" i="19"/>
  <c r="Q83" i="19" s="1"/>
  <c r="H83" i="19"/>
  <c r="T81" i="19"/>
  <c r="H81" i="19"/>
  <c r="T80" i="19"/>
  <c r="H80" i="19"/>
  <c r="T68" i="19"/>
  <c r="H68" i="19"/>
  <c r="T50" i="19"/>
  <c r="X669" i="19"/>
  <c r="X672" i="19"/>
  <c r="X675" i="19"/>
  <c r="X678" i="19"/>
  <c r="X681" i="19"/>
  <c r="X687" i="19"/>
  <c r="X690" i="19"/>
  <c r="X380" i="19"/>
  <c r="X383" i="19"/>
  <c r="X626" i="19"/>
  <c r="X659" i="19"/>
  <c r="X139" i="19"/>
  <c r="X151" i="19"/>
  <c r="X163" i="19"/>
  <c r="X409" i="19"/>
  <c r="X658" i="19"/>
  <c r="X661" i="19"/>
  <c r="X664" i="19"/>
  <c r="X667" i="19"/>
  <c r="X670" i="19"/>
  <c r="X673" i="19"/>
  <c r="X676" i="19"/>
  <c r="X679" i="19"/>
  <c r="X136" i="19"/>
  <c r="X142" i="19"/>
  <c r="X166" i="19"/>
  <c r="H55" i="19"/>
  <c r="H35" i="19"/>
  <c r="X668" i="19"/>
  <c r="X671" i="19"/>
  <c r="X674" i="19"/>
  <c r="W489" i="19"/>
  <c r="W492" i="19"/>
  <c r="W495" i="19"/>
  <c r="W498" i="19"/>
  <c r="W501" i="19"/>
  <c r="W504" i="19"/>
  <c r="W519" i="19"/>
  <c r="W525" i="19"/>
  <c r="W531" i="19"/>
  <c r="H52" i="19"/>
  <c r="H54" i="19"/>
  <c r="H53" i="19"/>
  <c r="H56" i="19"/>
  <c r="X567" i="19"/>
  <c r="X352" i="19"/>
  <c r="X680" i="19"/>
  <c r="X683" i="19"/>
  <c r="X686" i="19"/>
  <c r="X689" i="19"/>
  <c r="X692" i="19"/>
  <c r="X695" i="19"/>
  <c r="W597" i="19"/>
  <c r="W609" i="19"/>
  <c r="X654" i="19"/>
  <c r="X657" i="19"/>
  <c r="X660" i="19"/>
  <c r="X663" i="19"/>
  <c r="X629" i="19"/>
  <c r="X317" i="19"/>
  <c r="X320" i="19"/>
  <c r="X323" i="19"/>
  <c r="X347" i="19"/>
  <c r="W595" i="19"/>
  <c r="W601" i="19"/>
  <c r="W303" i="19"/>
  <c r="W312" i="19"/>
  <c r="W327" i="19"/>
  <c r="W336" i="19"/>
  <c r="W599" i="19"/>
  <c r="X682" i="19"/>
  <c r="X685" i="19"/>
  <c r="X688" i="19"/>
  <c r="X691" i="19"/>
  <c r="X694" i="19"/>
  <c r="X617" i="19"/>
  <c r="X318" i="19"/>
  <c r="X333" i="19"/>
  <c r="X336" i="19"/>
  <c r="X339" i="19"/>
  <c r="X540" i="19"/>
  <c r="W456" i="19"/>
  <c r="X361" i="19"/>
  <c r="X364" i="19"/>
  <c r="X367" i="19"/>
  <c r="X612" i="19"/>
  <c r="X250" i="19"/>
  <c r="W493" i="19"/>
  <c r="W496" i="19"/>
  <c r="X630" i="19"/>
  <c r="X304" i="19"/>
  <c r="X307" i="19"/>
  <c r="X334" i="19"/>
  <c r="W296" i="19"/>
  <c r="W311" i="19"/>
  <c r="W320" i="19"/>
  <c r="W335" i="19"/>
  <c r="W344" i="19"/>
  <c r="X415" i="19"/>
  <c r="X559" i="19"/>
  <c r="X353" i="19"/>
  <c r="W292" i="19"/>
  <c r="W304" i="19"/>
  <c r="W319" i="19"/>
  <c r="W328" i="19"/>
  <c r="W343" i="19"/>
  <c r="W453" i="19"/>
  <c r="W245" i="19"/>
  <c r="W248" i="19"/>
  <c r="X539" i="19"/>
  <c r="X638" i="19"/>
  <c r="W243" i="19"/>
  <c r="W246" i="19"/>
  <c r="W249" i="19"/>
  <c r="X293" i="19"/>
  <c r="X534" i="19"/>
  <c r="X222" i="19"/>
  <c r="W508" i="19"/>
  <c r="W511" i="19"/>
  <c r="W514" i="19"/>
  <c r="W517" i="19"/>
  <c r="W520" i="19"/>
  <c r="W523" i="19"/>
  <c r="W241" i="19"/>
  <c r="W244" i="19"/>
  <c r="W250" i="19"/>
  <c r="X261" i="19"/>
  <c r="X297" i="19"/>
  <c r="X532" i="19"/>
  <c r="X214" i="19"/>
  <c r="X223" i="19"/>
  <c r="X354" i="19"/>
  <c r="X369" i="19"/>
  <c r="W500" i="19"/>
  <c r="W503" i="19"/>
  <c r="W506" i="19"/>
  <c r="W509" i="19"/>
  <c r="W512" i="19"/>
  <c r="W530" i="19"/>
  <c r="W533" i="19"/>
  <c r="X230" i="19"/>
  <c r="X236" i="19"/>
  <c r="X280" i="19"/>
  <c r="W352" i="19"/>
  <c r="X372" i="19"/>
  <c r="X652" i="19"/>
  <c r="X614" i="19"/>
  <c r="X641" i="19"/>
  <c r="X644" i="19"/>
  <c r="X251" i="19"/>
  <c r="W538" i="19"/>
  <c r="X621" i="19"/>
  <c r="X218" i="19"/>
  <c r="X240" i="19"/>
  <c r="X281" i="19"/>
  <c r="X370" i="19"/>
  <c r="W376" i="19"/>
  <c r="W379" i="19"/>
  <c r="W541" i="19"/>
  <c r="W562" i="19"/>
  <c r="X356" i="19"/>
  <c r="X359" i="19"/>
  <c r="X362" i="19"/>
  <c r="W371" i="19"/>
  <c r="X379" i="19"/>
  <c r="X622" i="19"/>
  <c r="X30" i="19"/>
  <c r="X202" i="19"/>
  <c r="X235" i="19"/>
  <c r="X238" i="19"/>
  <c r="W374" i="19"/>
  <c r="W377" i="19"/>
  <c r="W554" i="19"/>
  <c r="W86" i="19"/>
  <c r="W89" i="19"/>
  <c r="W92" i="19"/>
  <c r="W95" i="19"/>
  <c r="W98" i="19"/>
  <c r="W101" i="19"/>
  <c r="W104" i="19"/>
  <c r="W107" i="19"/>
  <c r="W110" i="19"/>
  <c r="W113" i="19"/>
  <c r="W116" i="19"/>
  <c r="W119" i="19"/>
  <c r="W122" i="19"/>
  <c r="W125" i="19"/>
  <c r="W128" i="19"/>
  <c r="W131" i="19"/>
  <c r="W134" i="19"/>
  <c r="X348" i="19"/>
  <c r="X351" i="19"/>
  <c r="X412" i="19"/>
  <c r="X551" i="19"/>
  <c r="X563" i="19"/>
  <c r="X625" i="19"/>
  <c r="X628" i="19"/>
  <c r="X646" i="19"/>
  <c r="T20" i="19"/>
  <c r="W85" i="19"/>
  <c r="W88" i="19"/>
  <c r="W91" i="19"/>
  <c r="W94" i="19"/>
  <c r="W97" i="19"/>
  <c r="W100" i="19"/>
  <c r="W103" i="19"/>
  <c r="W106" i="19"/>
  <c r="W109" i="19"/>
  <c r="W112" i="19"/>
  <c r="W115" i="19"/>
  <c r="W118" i="19"/>
  <c r="W121" i="19"/>
  <c r="W124" i="19"/>
  <c r="W127" i="19"/>
  <c r="W130" i="19"/>
  <c r="W133" i="19"/>
  <c r="X246" i="19"/>
  <c r="W252" i="19"/>
  <c r="X313" i="19"/>
  <c r="X316" i="19"/>
  <c r="X319" i="19"/>
  <c r="X322" i="19"/>
  <c r="X337" i="19"/>
  <c r="X340" i="19"/>
  <c r="X343" i="19"/>
  <c r="X346" i="19"/>
  <c r="X377" i="19"/>
  <c r="W457" i="19"/>
  <c r="X531" i="19"/>
  <c r="W605" i="19"/>
  <c r="X649" i="19"/>
  <c r="X666" i="19"/>
  <c r="X175" i="19"/>
  <c r="X178" i="19"/>
  <c r="X187" i="19"/>
  <c r="X252" i="19"/>
  <c r="X255" i="19"/>
  <c r="X258" i="19"/>
  <c r="W276" i="19"/>
  <c r="W284" i="19"/>
  <c r="W360" i="19"/>
  <c r="W369" i="19"/>
  <c r="X371" i="19"/>
  <c r="X385" i="19"/>
  <c r="X388" i="19"/>
  <c r="X391" i="19"/>
  <c r="W466" i="19"/>
  <c r="W469" i="19"/>
  <c r="W481" i="19"/>
  <c r="X677" i="19"/>
  <c r="W31" i="19"/>
  <c r="W49" i="19"/>
  <c r="X244" i="19"/>
  <c r="W253" i="19"/>
  <c r="W256" i="19"/>
  <c r="W265" i="19"/>
  <c r="W268" i="19"/>
  <c r="X305" i="19"/>
  <c r="X308" i="19"/>
  <c r="X311" i="19"/>
  <c r="X314" i="19"/>
  <c r="X329" i="19"/>
  <c r="X332" i="19"/>
  <c r="X335" i="19"/>
  <c r="X338" i="19"/>
  <c r="X375" i="19"/>
  <c r="X378" i="19"/>
  <c r="W458" i="19"/>
  <c r="W546" i="19"/>
  <c r="W603" i="19"/>
  <c r="X633" i="19"/>
  <c r="X143" i="19"/>
  <c r="X146" i="19"/>
  <c r="X155" i="19"/>
  <c r="X158" i="19"/>
  <c r="X167" i="19"/>
  <c r="X170" i="19"/>
  <c r="X179" i="19"/>
  <c r="X191" i="19"/>
  <c r="X203" i="19"/>
  <c r="X206" i="19"/>
  <c r="X256" i="19"/>
  <c r="W277" i="19"/>
  <c r="W280" i="19"/>
  <c r="X349" i="19"/>
  <c r="X401" i="19"/>
  <c r="X404" i="19"/>
  <c r="X407" i="19"/>
  <c r="W452" i="19"/>
  <c r="W461" i="19"/>
  <c r="W473" i="19"/>
  <c r="W583" i="19"/>
  <c r="W242" i="19"/>
  <c r="X277" i="19"/>
  <c r="X285" i="19"/>
  <c r="W60" i="19"/>
  <c r="W87" i="19"/>
  <c r="W93" i="19"/>
  <c r="W99" i="19"/>
  <c r="W105" i="19"/>
  <c r="W111" i="19"/>
  <c r="W117" i="19"/>
  <c r="W123" i="19"/>
  <c r="W129" i="19"/>
  <c r="W135" i="19"/>
  <c r="X248" i="19"/>
  <c r="W254" i="19"/>
  <c r="W257" i="19"/>
  <c r="W263" i="19"/>
  <c r="W272" i="19"/>
  <c r="X321" i="19"/>
  <c r="X324" i="19"/>
  <c r="X327" i="19"/>
  <c r="X330" i="19"/>
  <c r="X345" i="19"/>
  <c r="W539" i="19"/>
  <c r="X555" i="19"/>
  <c r="W575" i="19"/>
  <c r="W607" i="19"/>
  <c r="X665" i="19"/>
  <c r="W90" i="19"/>
  <c r="W96" i="19"/>
  <c r="W102" i="19"/>
  <c r="W108" i="19"/>
  <c r="W114" i="19"/>
  <c r="W120" i="19"/>
  <c r="W126" i="19"/>
  <c r="W132" i="19"/>
  <c r="X138" i="19"/>
  <c r="X147" i="19"/>
  <c r="X150" i="19"/>
  <c r="X159" i="19"/>
  <c r="X162" i="19"/>
  <c r="X171" i="19"/>
  <c r="X183" i="19"/>
  <c r="X186" i="19"/>
  <c r="X195" i="19"/>
  <c r="X239" i="19"/>
  <c r="X254" i="19"/>
  <c r="X266" i="19"/>
  <c r="X350" i="19"/>
  <c r="W368" i="19"/>
  <c r="X393" i="19"/>
  <c r="X396" i="19"/>
  <c r="W465" i="19"/>
  <c r="W474" i="19"/>
  <c r="W477" i="19"/>
  <c r="X518" i="19"/>
  <c r="X521" i="19"/>
  <c r="X547" i="19"/>
  <c r="X618" i="19"/>
  <c r="P33" i="19"/>
  <c r="Q33" i="19" s="1"/>
  <c r="T19" i="19"/>
  <c r="P73" i="19"/>
  <c r="Q73" i="19" s="1"/>
  <c r="P16" i="19"/>
  <c r="Q16" i="19" s="1"/>
  <c r="T59" i="19"/>
  <c r="T21" i="19"/>
  <c r="P58" i="19"/>
  <c r="Q58" i="19" s="1"/>
  <c r="P71" i="19"/>
  <c r="Q71" i="19" s="1"/>
  <c r="T32" i="19"/>
  <c r="P75" i="19"/>
  <c r="Q75" i="19" s="1"/>
  <c r="T17" i="19"/>
  <c r="P18" i="19"/>
  <c r="Q18" i="19" s="1"/>
  <c r="P34" i="19"/>
  <c r="Q34" i="19" s="1"/>
  <c r="T72" i="19"/>
  <c r="F46" i="19"/>
  <c r="P13" i="19"/>
  <c r="Q13" i="19" s="1"/>
  <c r="G70" i="19"/>
  <c r="F78" i="19" s="1"/>
  <c r="P78" i="19" s="1"/>
  <c r="Q78" i="19" s="1"/>
  <c r="H15" i="19"/>
  <c r="F70" i="19"/>
  <c r="T70" i="19" s="1"/>
  <c r="T15" i="19"/>
  <c r="X77" i="19"/>
  <c r="P79" i="19"/>
  <c r="Q79" i="19" s="1"/>
  <c r="X199" i="19"/>
  <c r="X234" i="19"/>
  <c r="P61" i="19"/>
  <c r="Q61" i="19" s="1"/>
  <c r="T82" i="19"/>
  <c r="B17" i="19"/>
  <c r="B20" i="19" s="1"/>
  <c r="X76" i="19"/>
  <c r="X194" i="19"/>
  <c r="X198" i="19"/>
  <c r="W14" i="19"/>
  <c r="X207" i="19"/>
  <c r="X190" i="19"/>
  <c r="X219" i="19"/>
  <c r="W8" i="19"/>
  <c r="X182" i="19"/>
  <c r="X174" i="19"/>
  <c r="X154" i="19"/>
  <c r="W178" i="19"/>
  <c r="W186" i="19"/>
  <c r="W194" i="19"/>
  <c r="W202" i="19"/>
  <c r="W279" i="19"/>
  <c r="W288" i="19"/>
  <c r="X296" i="19"/>
  <c r="W300" i="19"/>
  <c r="X309" i="19"/>
  <c r="X310" i="19"/>
  <c r="X312" i="19"/>
  <c r="X315" i="19"/>
  <c r="X325" i="19"/>
  <c r="X326" i="19"/>
  <c r="X328" i="19"/>
  <c r="X331" i="19"/>
  <c r="X341" i="19"/>
  <c r="X342" i="19"/>
  <c r="X344" i="19"/>
  <c r="W348" i="19"/>
  <c r="X363" i="19"/>
  <c r="X365" i="19"/>
  <c r="X366" i="19"/>
  <c r="X368" i="19"/>
  <c r="W370" i="19"/>
  <c r="W373" i="19"/>
  <c r="W380" i="19"/>
  <c r="X47" i="19"/>
  <c r="X62" i="19"/>
  <c r="W136" i="19"/>
  <c r="W138" i="19"/>
  <c r="W142" i="19"/>
  <c r="W146" i="19"/>
  <c r="W150" i="19"/>
  <c r="W154" i="19"/>
  <c r="W158" i="19"/>
  <c r="W162" i="19"/>
  <c r="W166" i="19"/>
  <c r="W170" i="19"/>
  <c r="W174" i="19"/>
  <c r="W182" i="19"/>
  <c r="W190" i="19"/>
  <c r="W198" i="19"/>
  <c r="W247" i="19"/>
  <c r="W260" i="19"/>
  <c r="W261" i="19"/>
  <c r="W266" i="19"/>
  <c r="W271" i="19"/>
  <c r="W287" i="19"/>
  <c r="X288" i="19"/>
  <c r="X289" i="19"/>
  <c r="W295" i="19"/>
  <c r="X301" i="19"/>
  <c r="W308" i="19"/>
  <c r="W324" i="19"/>
  <c r="W340" i="19"/>
  <c r="W351" i="19"/>
  <c r="X355" i="19"/>
  <c r="X357" i="19"/>
  <c r="X358" i="19"/>
  <c r="X360" i="19"/>
  <c r="W372" i="19"/>
  <c r="X373" i="19"/>
  <c r="X374" i="19"/>
  <c r="X376" i="19"/>
  <c r="W378" i="19"/>
  <c r="X381" i="19"/>
  <c r="X382" i="19"/>
  <c r="W471" i="19"/>
  <c r="W472" i="19"/>
  <c r="W475" i="19"/>
  <c r="W476" i="19"/>
  <c r="W478" i="19"/>
  <c r="W479" i="19"/>
  <c r="W480" i="19"/>
  <c r="X515" i="19"/>
  <c r="X516" i="19"/>
  <c r="X523" i="19"/>
  <c r="X524" i="19"/>
  <c r="X526" i="19"/>
  <c r="W542" i="19"/>
  <c r="X548" i="19"/>
  <c r="X550" i="19"/>
  <c r="X566" i="19"/>
  <c r="W570" i="19"/>
  <c r="W571" i="19"/>
  <c r="W578" i="19"/>
  <c r="W579" i="19"/>
  <c r="W586" i="19"/>
  <c r="W587" i="19"/>
  <c r="W611" i="19"/>
  <c r="X645" i="19"/>
  <c r="X684" i="19"/>
  <c r="W381" i="19"/>
  <c r="W451" i="19"/>
  <c r="W455" i="19"/>
  <c r="W459" i="19"/>
  <c r="W460" i="19"/>
  <c r="W463" i="19"/>
  <c r="W464" i="19"/>
  <c r="W467" i="19"/>
  <c r="W468" i="19"/>
  <c r="W470" i="19"/>
  <c r="W482" i="19"/>
  <c r="W483" i="19"/>
  <c r="W484" i="19"/>
  <c r="W486" i="19"/>
  <c r="W487" i="19"/>
  <c r="W488" i="19"/>
  <c r="W490" i="19"/>
  <c r="W491" i="19"/>
  <c r="W494" i="19"/>
  <c r="W497" i="19"/>
  <c r="W499" i="19"/>
  <c r="W502" i="19"/>
  <c r="W505" i="19"/>
  <c r="W507" i="19"/>
  <c r="W510" i="19"/>
  <c r="W513" i="19"/>
  <c r="W515" i="19"/>
  <c r="W522" i="19"/>
  <c r="W536" i="19"/>
  <c r="X542" i="19"/>
  <c r="X543" i="19"/>
  <c r="X558" i="19"/>
  <c r="W591" i="19"/>
  <c r="W615" i="19"/>
  <c r="X636" i="19"/>
  <c r="W683" i="19"/>
  <c r="X693" i="19"/>
  <c r="W48" i="19"/>
  <c r="X86" i="19"/>
  <c r="X88" i="19"/>
  <c r="X90" i="19"/>
  <c r="X91" i="19"/>
  <c r="X93" i="19"/>
  <c r="X95" i="19"/>
  <c r="X97" i="19"/>
  <c r="X99" i="19"/>
  <c r="X101" i="19"/>
  <c r="X102" i="19"/>
  <c r="X106" i="19"/>
  <c r="X107" i="19"/>
  <c r="X108" i="19"/>
  <c r="X119" i="19"/>
  <c r="X120" i="19"/>
  <c r="X126" i="19"/>
  <c r="X129" i="19"/>
  <c r="X132" i="19"/>
  <c r="X133" i="19"/>
  <c r="X134" i="19"/>
  <c r="X135" i="19"/>
  <c r="X208" i="19"/>
  <c r="X210" i="19"/>
  <c r="W213" i="19"/>
  <c r="W214" i="19"/>
  <c r="X215" i="19"/>
  <c r="X227" i="19"/>
  <c r="W233" i="19"/>
  <c r="W234" i="19"/>
  <c r="X242" i="19"/>
  <c r="X247" i="19"/>
  <c r="X272" i="19"/>
  <c r="X273" i="19"/>
  <c r="X275" i="19"/>
  <c r="W356" i="19"/>
  <c r="W359" i="19"/>
  <c r="W375" i="19"/>
  <c r="X8" i="19"/>
  <c r="X31" i="19"/>
  <c r="W63" i="19"/>
  <c r="W76" i="19"/>
  <c r="X85" i="19"/>
  <c r="X87" i="19"/>
  <c r="X89" i="19"/>
  <c r="X92" i="19"/>
  <c r="X94" i="19"/>
  <c r="X96" i="19"/>
  <c r="X98" i="19"/>
  <c r="X100" i="19"/>
  <c r="X103" i="19"/>
  <c r="X104" i="19"/>
  <c r="X105" i="19"/>
  <c r="X109" i="19"/>
  <c r="X110" i="19"/>
  <c r="X111" i="19"/>
  <c r="X112" i="19"/>
  <c r="X113" i="19"/>
  <c r="X114" i="19"/>
  <c r="X115" i="19"/>
  <c r="X116" i="19"/>
  <c r="X117" i="19"/>
  <c r="X118" i="19"/>
  <c r="X121" i="19"/>
  <c r="X122" i="19"/>
  <c r="X123" i="19"/>
  <c r="X124" i="19"/>
  <c r="X125" i="19"/>
  <c r="X127" i="19"/>
  <c r="X128" i="19"/>
  <c r="X130" i="19"/>
  <c r="X131" i="19"/>
  <c r="W10" i="19"/>
  <c r="X14" i="19"/>
  <c r="W47" i="19"/>
  <c r="X48" i="19"/>
  <c r="W62" i="19"/>
  <c r="X63" i="19"/>
  <c r="W69" i="19"/>
  <c r="X69" i="19"/>
  <c r="W137" i="19"/>
  <c r="W141" i="19"/>
  <c r="W145" i="19"/>
  <c r="W149" i="19"/>
  <c r="W153" i="19"/>
  <c r="W157" i="19"/>
  <c r="W161" i="19"/>
  <c r="W165" i="19"/>
  <c r="W169" i="19"/>
  <c r="X211" i="19"/>
  <c r="W217" i="19"/>
  <c r="W218" i="19"/>
  <c r="X225" i="19"/>
  <c r="X226" i="19"/>
  <c r="W229" i="19"/>
  <c r="W230" i="19"/>
  <c r="X231" i="19"/>
  <c r="X243" i="19"/>
  <c r="X257" i="19"/>
  <c r="X259" i="19"/>
  <c r="X264" i="19"/>
  <c r="X265" i="19"/>
  <c r="X267" i="19"/>
  <c r="X268" i="19"/>
  <c r="X269" i="19"/>
  <c r="X270" i="19"/>
  <c r="X278" i="19"/>
  <c r="W316" i="19"/>
  <c r="W332" i="19"/>
  <c r="W364" i="19"/>
  <c r="W367" i="19"/>
  <c r="W382" i="19"/>
  <c r="X279" i="19"/>
  <c r="X282" i="19"/>
  <c r="W283" i="19"/>
  <c r="W286" i="19"/>
  <c r="X291" i="19"/>
  <c r="X294" i="19"/>
  <c r="X295" i="19"/>
  <c r="X298" i="19"/>
  <c r="X299" i="19"/>
  <c r="X302" i="19"/>
  <c r="X303" i="19"/>
  <c r="W305" i="19"/>
  <c r="W307" i="19"/>
  <c r="W318" i="19"/>
  <c r="W321" i="19"/>
  <c r="W334" i="19"/>
  <c r="W337" i="19"/>
  <c r="W338" i="19"/>
  <c r="W347" i="19"/>
  <c r="W349" i="19"/>
  <c r="W350" i="19"/>
  <c r="W353" i="19"/>
  <c r="W355" i="19"/>
  <c r="W357" i="19"/>
  <c r="W358" i="19"/>
  <c r="W361" i="19"/>
  <c r="W363" i="19"/>
  <c r="W365" i="19"/>
  <c r="W366" i="19"/>
  <c r="W557" i="19"/>
  <c r="W558" i="19"/>
  <c r="W173" i="19"/>
  <c r="W177" i="19"/>
  <c r="W181" i="19"/>
  <c r="W185" i="19"/>
  <c r="W189" i="19"/>
  <c r="W193" i="19"/>
  <c r="W197" i="19"/>
  <c r="W201" i="19"/>
  <c r="W205" i="19"/>
  <c r="W206" i="19"/>
  <c r="W209" i="19"/>
  <c r="W210" i="19"/>
  <c r="X212" i="19"/>
  <c r="X213" i="19"/>
  <c r="X217" i="19"/>
  <c r="W221" i="19"/>
  <c r="W222" i="19"/>
  <c r="W225" i="19"/>
  <c r="W226" i="19"/>
  <c r="X228" i="19"/>
  <c r="X229" i="19"/>
  <c r="X232" i="19"/>
  <c r="W237" i="19"/>
  <c r="W238" i="19"/>
  <c r="X245" i="19"/>
  <c r="X249" i="19"/>
  <c r="W251" i="19"/>
  <c r="W255" i="19"/>
  <c r="W258" i="19"/>
  <c r="X262" i="19"/>
  <c r="W264" i="19"/>
  <c r="W269" i="19"/>
  <c r="W270" i="19"/>
  <c r="X271" i="19"/>
  <c r="W273" i="19"/>
  <c r="X274" i="19"/>
  <c r="W275" i="19"/>
  <c r="X276" i="19"/>
  <c r="W278" i="19"/>
  <c r="W282" i="19"/>
  <c r="X283" i="19"/>
  <c r="X286" i="19"/>
  <c r="X287" i="19"/>
  <c r="W289" i="19"/>
  <c r="X290" i="19"/>
  <c r="W291" i="19"/>
  <c r="X292" i="19"/>
  <c r="W294" i="19"/>
  <c r="W297" i="19"/>
  <c r="W298" i="19"/>
  <c r="X300" i="19"/>
  <c r="W301" i="19"/>
  <c r="W302" i="19"/>
  <c r="X306" i="19"/>
  <c r="W309" i="19"/>
  <c r="W310" i="19"/>
  <c r="W313" i="19"/>
  <c r="W314" i="19"/>
  <c r="W325" i="19"/>
  <c r="W326" i="19"/>
  <c r="W329" i="19"/>
  <c r="W330" i="19"/>
  <c r="W331" i="19"/>
  <c r="W341" i="19"/>
  <c r="W342" i="19"/>
  <c r="W345" i="19"/>
  <c r="W354" i="19"/>
  <c r="W362" i="19"/>
  <c r="X386" i="19"/>
  <c r="W388" i="19"/>
  <c r="X397" i="19"/>
  <c r="X399" i="19"/>
  <c r="W526" i="19"/>
  <c r="W547" i="19"/>
  <c r="W549" i="19"/>
  <c r="W550" i="19"/>
  <c r="X390" i="19"/>
  <c r="W396" i="19"/>
  <c r="W397" i="19"/>
  <c r="X398" i="19"/>
  <c r="X400" i="19"/>
  <c r="W404" i="19"/>
  <c r="X406" i="19"/>
  <c r="W412" i="19"/>
  <c r="W413" i="19"/>
  <c r="X414" i="19"/>
  <c r="X416" i="19"/>
  <c r="W427" i="19"/>
  <c r="W439" i="19"/>
  <c r="W447" i="19"/>
  <c r="W450" i="19"/>
  <c r="X451" i="19"/>
  <c r="X452" i="19"/>
  <c r="X456" i="19"/>
  <c r="X459" i="19"/>
  <c r="X487" i="19"/>
  <c r="X497" i="19"/>
  <c r="X500" i="19"/>
  <c r="X502" i="19"/>
  <c r="X507" i="19"/>
  <c r="X513" i="19"/>
  <c r="W527" i="19"/>
  <c r="W528" i="19"/>
  <c r="X530" i="19"/>
  <c r="W532" i="19"/>
  <c r="X533" i="19"/>
  <c r="W535" i="19"/>
  <c r="X537" i="19"/>
  <c r="X545" i="19"/>
  <c r="X549" i="19"/>
  <c r="W551" i="19"/>
  <c r="W552" i="19"/>
  <c r="X553" i="19"/>
  <c r="W556" i="19"/>
  <c r="X557" i="19"/>
  <c r="W559" i="19"/>
  <c r="W560" i="19"/>
  <c r="X561" i="19"/>
  <c r="W564" i="19"/>
  <c r="X565" i="19"/>
  <c r="X569" i="19"/>
  <c r="X573" i="19"/>
  <c r="X585" i="19"/>
  <c r="X589" i="19"/>
  <c r="W602" i="19"/>
  <c r="X616" i="19"/>
  <c r="X620" i="19"/>
  <c r="X623" i="19"/>
  <c r="X402" i="19"/>
  <c r="X410" i="19"/>
  <c r="X411" i="19"/>
  <c r="W443" i="19"/>
  <c r="W454" i="19"/>
  <c r="X455" i="19"/>
  <c r="W462" i="19"/>
  <c r="X463" i="19"/>
  <c r="X479" i="19"/>
  <c r="X492" i="19"/>
  <c r="X494" i="19"/>
  <c r="X499" i="19"/>
  <c r="X505" i="19"/>
  <c r="X508" i="19"/>
  <c r="X510" i="19"/>
  <c r="W516" i="19"/>
  <c r="X519" i="19"/>
  <c r="X522" i="19"/>
  <c r="X527" i="19"/>
  <c r="X528" i="19"/>
  <c r="X529" i="19"/>
  <c r="X536" i="19"/>
  <c r="X538" i="19"/>
  <c r="W543" i="19"/>
  <c r="X544" i="19"/>
  <c r="W545" i="19"/>
  <c r="X546" i="19"/>
  <c r="W548" i="19"/>
  <c r="X552" i="19"/>
  <c r="W553" i="19"/>
  <c r="X554" i="19"/>
  <c r="W555" i="19"/>
  <c r="X556" i="19"/>
  <c r="X560" i="19"/>
  <c r="W561" i="19"/>
  <c r="X562" i="19"/>
  <c r="W563" i="19"/>
  <c r="X564" i="19"/>
  <c r="W565" i="19"/>
  <c r="W566" i="19"/>
  <c r="W567" i="19"/>
  <c r="W568" i="19"/>
  <c r="X577" i="19"/>
  <c r="X581" i="19"/>
  <c r="W588" i="19"/>
  <c r="W598" i="19"/>
  <c r="X613" i="19"/>
  <c r="X642" i="19"/>
  <c r="X648" i="19"/>
  <c r="X651" i="19"/>
  <c r="W652" i="19"/>
  <c r="X653" i="19"/>
  <c r="W658" i="19"/>
  <c r="W660" i="19"/>
  <c r="W668" i="19"/>
  <c r="W674" i="19"/>
  <c r="W676" i="19"/>
  <c r="X568" i="19"/>
  <c r="W569" i="19"/>
  <c r="W574" i="19"/>
  <c r="W582" i="19"/>
  <c r="W590" i="19"/>
  <c r="W592" i="19"/>
  <c r="X593" i="19"/>
  <c r="W596" i="19"/>
  <c r="X597" i="19"/>
  <c r="W600" i="19"/>
  <c r="X601" i="19"/>
  <c r="W604" i="19"/>
  <c r="X605" i="19"/>
  <c r="W608" i="19"/>
  <c r="X609" i="19"/>
  <c r="W610" i="19"/>
  <c r="W612" i="19"/>
  <c r="W618" i="19"/>
  <c r="W626" i="19"/>
  <c r="X627" i="19"/>
  <c r="W628" i="19"/>
  <c r="X632" i="19"/>
  <c r="X635" i="19"/>
  <c r="W636" i="19"/>
  <c r="X637" i="19"/>
  <c r="W642" i="19"/>
  <c r="X643" i="19"/>
  <c r="W644" i="19"/>
  <c r="W651" i="19"/>
  <c r="W684" i="19"/>
  <c r="W690" i="19"/>
  <c r="U71" i="19"/>
  <c r="H82" i="19"/>
  <c r="H75" i="19"/>
  <c r="U74" i="19"/>
  <c r="R74" i="19"/>
  <c r="S74" i="19" s="1"/>
  <c r="H59" i="19"/>
  <c r="H72" i="19"/>
  <c r="H73" i="19"/>
  <c r="H47" i="19"/>
  <c r="R61" i="19"/>
  <c r="S61" i="19" s="1"/>
  <c r="T73" i="19"/>
  <c r="P84" i="19"/>
  <c r="Q84" i="19" s="1"/>
  <c r="P32" i="19"/>
  <c r="Q32" i="19" s="1"/>
  <c r="T61" i="19"/>
  <c r="P82" i="19"/>
  <c r="Q82" i="19" s="1"/>
  <c r="P20" i="19"/>
  <c r="Q20" i="19" s="1"/>
  <c r="T71" i="19"/>
  <c r="H32" i="19"/>
  <c r="H31" i="19"/>
  <c r="P81" i="19"/>
  <c r="Q81" i="19" s="1"/>
  <c r="H33" i="19"/>
  <c r="H34" i="19"/>
  <c r="H20" i="19"/>
  <c r="H19" i="19"/>
  <c r="H21" i="19"/>
  <c r="P80" i="19"/>
  <c r="Q80" i="19" s="1"/>
  <c r="T83" i="19"/>
  <c r="H17" i="19"/>
  <c r="H18" i="19"/>
  <c r="P72" i="19"/>
  <c r="Q72" i="19" s="1"/>
  <c r="H13" i="19"/>
  <c r="P68" i="19"/>
  <c r="Q68" i="19" s="1"/>
  <c r="T33" i="19"/>
  <c r="T79" i="19"/>
  <c r="T75" i="19"/>
  <c r="P50" i="19"/>
  <c r="Q50" i="19" s="1"/>
  <c r="P74" i="19"/>
  <c r="Q74" i="19" s="1"/>
  <c r="T74" i="19"/>
  <c r="T34" i="19"/>
  <c r="P59" i="19"/>
  <c r="Q59" i="19" s="1"/>
  <c r="P21" i="19"/>
  <c r="Q21" i="19" s="1"/>
  <c r="T58" i="19"/>
  <c r="T13" i="19"/>
  <c r="P19" i="19"/>
  <c r="Q19" i="19" s="1"/>
  <c r="T18" i="19"/>
  <c r="P17" i="19"/>
  <c r="Q17" i="19" s="1"/>
  <c r="T16" i="19"/>
  <c r="T9" i="19"/>
  <c r="P9" i="19"/>
  <c r="Q9" i="19" s="1"/>
  <c r="P12" i="19"/>
  <c r="Q12" i="19" s="1"/>
  <c r="T12" i="19"/>
  <c r="R9" i="19"/>
  <c r="S9" i="19" s="1"/>
  <c r="U9" i="19"/>
  <c r="H62" i="19"/>
  <c r="H30" i="19"/>
  <c r="H9" i="19"/>
  <c r="H63" i="19"/>
  <c r="H58" i="19"/>
  <c r="H48" i="19"/>
  <c r="X10" i="19"/>
  <c r="X141" i="19"/>
  <c r="X144" i="19"/>
  <c r="X149" i="19"/>
  <c r="X152" i="19"/>
  <c r="X157" i="19"/>
  <c r="X160" i="19"/>
  <c r="X165" i="19"/>
  <c r="X168" i="19"/>
  <c r="X173" i="19"/>
  <c r="X176" i="19"/>
  <c r="X181" i="19"/>
  <c r="X184" i="19"/>
  <c r="X189" i="19"/>
  <c r="X192" i="19"/>
  <c r="X197" i="19"/>
  <c r="X200" i="19"/>
  <c r="X205" i="19"/>
  <c r="X220" i="19"/>
  <c r="X237" i="19"/>
  <c r="X49" i="19"/>
  <c r="X209" i="19"/>
  <c r="X224" i="19"/>
  <c r="X241" i="19"/>
  <c r="X137" i="19"/>
  <c r="X140" i="19"/>
  <c r="X145" i="19"/>
  <c r="X148" i="19"/>
  <c r="X153" i="19"/>
  <c r="X156" i="19"/>
  <c r="X161" i="19"/>
  <c r="X164" i="19"/>
  <c r="X169" i="19"/>
  <c r="X172" i="19"/>
  <c r="X177" i="19"/>
  <c r="X180" i="19"/>
  <c r="X185" i="19"/>
  <c r="X188" i="19"/>
  <c r="X193" i="19"/>
  <c r="X196" i="19"/>
  <c r="X201" i="19"/>
  <c r="X204" i="19"/>
  <c r="X221" i="19"/>
  <c r="X253" i="19"/>
  <c r="W30" i="19"/>
  <c r="W77" i="19"/>
  <c r="X60" i="19"/>
  <c r="X216" i="19"/>
  <c r="X233" i="19"/>
  <c r="H49" i="19"/>
  <c r="H60" i="19"/>
  <c r="W140" i="19"/>
  <c r="W144" i="19"/>
  <c r="W148" i="19"/>
  <c r="W152" i="19"/>
  <c r="W156" i="19"/>
  <c r="W160" i="19"/>
  <c r="W164" i="19"/>
  <c r="W168" i="19"/>
  <c r="W172" i="19"/>
  <c r="W176" i="19"/>
  <c r="W180" i="19"/>
  <c r="W184" i="19"/>
  <c r="W188" i="19"/>
  <c r="W192" i="19"/>
  <c r="W196" i="19"/>
  <c r="W200" i="19"/>
  <c r="W204" i="19"/>
  <c r="W208" i="19"/>
  <c r="W212" i="19"/>
  <c r="W216" i="19"/>
  <c r="W220" i="19"/>
  <c r="W224" i="19"/>
  <c r="W228" i="19"/>
  <c r="W232" i="19"/>
  <c r="W236" i="19"/>
  <c r="W240" i="19"/>
  <c r="X260" i="19"/>
  <c r="W267" i="19"/>
  <c r="W293" i="19"/>
  <c r="W299" i="19"/>
  <c r="W315" i="19"/>
  <c r="W346" i="19"/>
  <c r="W259" i="19"/>
  <c r="X263" i="19"/>
  <c r="W274" i="19"/>
  <c r="W281" i="19"/>
  <c r="X284" i="19"/>
  <c r="W290" i="19"/>
  <c r="W323" i="19"/>
  <c r="H74" i="19"/>
  <c r="W139" i="19"/>
  <c r="W143" i="19"/>
  <c r="W147" i="19"/>
  <c r="W151" i="19"/>
  <c r="W155" i="19"/>
  <c r="W159" i="19"/>
  <c r="W163" i="19"/>
  <c r="W167" i="19"/>
  <c r="W171" i="19"/>
  <c r="W175" i="19"/>
  <c r="W179" i="19"/>
  <c r="W183" i="19"/>
  <c r="W187" i="19"/>
  <c r="W191" i="19"/>
  <c r="W195" i="19"/>
  <c r="W199" i="19"/>
  <c r="W203" i="19"/>
  <c r="W207" i="19"/>
  <c r="W211" i="19"/>
  <c r="W215" i="19"/>
  <c r="W219" i="19"/>
  <c r="W223" i="19"/>
  <c r="W227" i="19"/>
  <c r="W231" i="19"/>
  <c r="W235" i="19"/>
  <c r="W239" i="19"/>
  <c r="W262" i="19"/>
  <c r="W306" i="19"/>
  <c r="W317" i="19"/>
  <c r="W339" i="19"/>
  <c r="W285" i="19"/>
  <c r="W322" i="19"/>
  <c r="W333" i="19"/>
  <c r="X405" i="19"/>
  <c r="W431" i="19"/>
  <c r="X384" i="19"/>
  <c r="X387" i="19"/>
  <c r="W419" i="19"/>
  <c r="W435" i="19"/>
  <c r="W389" i="19"/>
  <c r="X389" i="19"/>
  <c r="X392" i="19"/>
  <c r="X395" i="19"/>
  <c r="W423" i="19"/>
  <c r="X403" i="19"/>
  <c r="X394" i="19"/>
  <c r="W405" i="19"/>
  <c r="X408" i="19"/>
  <c r="X413" i="19"/>
  <c r="X419" i="19"/>
  <c r="X423" i="19"/>
  <c r="X427" i="19"/>
  <c r="X431" i="19"/>
  <c r="X435" i="19"/>
  <c r="X439" i="19"/>
  <c r="X443" i="19"/>
  <c r="X447" i="19"/>
  <c r="W387" i="19"/>
  <c r="W395" i="19"/>
  <c r="W403" i="19"/>
  <c r="W411" i="19"/>
  <c r="W418" i="19"/>
  <c r="W422" i="19"/>
  <c r="W426" i="19"/>
  <c r="W430" i="19"/>
  <c r="W434" i="19"/>
  <c r="W438" i="19"/>
  <c r="W442" i="19"/>
  <c r="W446" i="19"/>
  <c r="X471" i="19"/>
  <c r="W386" i="19"/>
  <c r="W394" i="19"/>
  <c r="W402" i="19"/>
  <c r="W410" i="19"/>
  <c r="X418" i="19"/>
  <c r="X422" i="19"/>
  <c r="X426" i="19"/>
  <c r="X430" i="19"/>
  <c r="X434" i="19"/>
  <c r="X438" i="19"/>
  <c r="X442" i="19"/>
  <c r="X446" i="19"/>
  <c r="W385" i="19"/>
  <c r="W393" i="19"/>
  <c r="W401" i="19"/>
  <c r="W409" i="19"/>
  <c r="W417" i="19"/>
  <c r="W421" i="19"/>
  <c r="W425" i="19"/>
  <c r="W429" i="19"/>
  <c r="W433" i="19"/>
  <c r="W437" i="19"/>
  <c r="W441" i="19"/>
  <c r="W445" i="19"/>
  <c r="W449" i="19"/>
  <c r="W384" i="19"/>
  <c r="W392" i="19"/>
  <c r="W400" i="19"/>
  <c r="W408" i="19"/>
  <c r="W416" i="19"/>
  <c r="X417" i="19"/>
  <c r="X421" i="19"/>
  <c r="X425" i="19"/>
  <c r="X429" i="19"/>
  <c r="X433" i="19"/>
  <c r="X437" i="19"/>
  <c r="X441" i="19"/>
  <c r="X445" i="19"/>
  <c r="X449" i="19"/>
  <c r="X475" i="19"/>
  <c r="X483" i="19"/>
  <c r="X491" i="19"/>
  <c r="W518" i="19"/>
  <c r="X535" i="19"/>
  <c r="W383" i="19"/>
  <c r="W391" i="19"/>
  <c r="W399" i="19"/>
  <c r="W407" i="19"/>
  <c r="W415" i="19"/>
  <c r="W420" i="19"/>
  <c r="W424" i="19"/>
  <c r="W428" i="19"/>
  <c r="W432" i="19"/>
  <c r="W436" i="19"/>
  <c r="W440" i="19"/>
  <c r="W444" i="19"/>
  <c r="W448" i="19"/>
  <c r="W534" i="19"/>
  <c r="W390" i="19"/>
  <c r="W398" i="19"/>
  <c r="W406" i="19"/>
  <c r="W414" i="19"/>
  <c r="X420" i="19"/>
  <c r="X424" i="19"/>
  <c r="X428" i="19"/>
  <c r="X432" i="19"/>
  <c r="X436" i="19"/>
  <c r="X440" i="19"/>
  <c r="X444" i="19"/>
  <c r="X448" i="19"/>
  <c r="X467" i="19"/>
  <c r="X496" i="19"/>
  <c r="X504" i="19"/>
  <c r="X512" i="19"/>
  <c r="W521" i="19"/>
  <c r="X525" i="19"/>
  <c r="X541" i="19"/>
  <c r="W544" i="19"/>
  <c r="X450" i="19"/>
  <c r="X454" i="19"/>
  <c r="X458" i="19"/>
  <c r="X462" i="19"/>
  <c r="X466" i="19"/>
  <c r="X470" i="19"/>
  <c r="X474" i="19"/>
  <c r="X478" i="19"/>
  <c r="X482" i="19"/>
  <c r="X486" i="19"/>
  <c r="X490" i="19"/>
  <c r="X493" i="19"/>
  <c r="X501" i="19"/>
  <c r="X509" i="19"/>
  <c r="W537" i="19"/>
  <c r="X498" i="19"/>
  <c r="X506" i="19"/>
  <c r="X514" i="19"/>
  <c r="W524" i="19"/>
  <c r="W540" i="19"/>
  <c r="X453" i="19"/>
  <c r="X457" i="19"/>
  <c r="X461" i="19"/>
  <c r="X465" i="19"/>
  <c r="X469" i="19"/>
  <c r="X473" i="19"/>
  <c r="X477" i="19"/>
  <c r="X481" i="19"/>
  <c r="X485" i="19"/>
  <c r="X489" i="19"/>
  <c r="X495" i="19"/>
  <c r="X503" i="19"/>
  <c r="X511" i="19"/>
  <c r="X517" i="19"/>
  <c r="X520" i="19"/>
  <c r="X460" i="19"/>
  <c r="X464" i="19"/>
  <c r="X468" i="19"/>
  <c r="X472" i="19"/>
  <c r="X476" i="19"/>
  <c r="X480" i="19"/>
  <c r="X484" i="19"/>
  <c r="X488" i="19"/>
  <c r="W529" i="19"/>
  <c r="W635" i="19"/>
  <c r="W572" i="19"/>
  <c r="W580" i="19"/>
  <c r="W593" i="19"/>
  <c r="X572" i="19"/>
  <c r="W577" i="19"/>
  <c r="X580" i="19"/>
  <c r="W585" i="19"/>
  <c r="W667" i="19"/>
  <c r="W576" i="19"/>
  <c r="W584" i="19"/>
  <c r="W594" i="19"/>
  <c r="W573" i="19"/>
  <c r="X576" i="19"/>
  <c r="W581" i="19"/>
  <c r="X584" i="19"/>
  <c r="W589" i="19"/>
  <c r="W606" i="19"/>
  <c r="X619" i="19"/>
  <c r="X639" i="19"/>
  <c r="X655" i="19"/>
  <c r="X588" i="19"/>
  <c r="X592" i="19"/>
  <c r="X596" i="19"/>
  <c r="X600" i="19"/>
  <c r="X604" i="19"/>
  <c r="X608" i="19"/>
  <c r="W616" i="19"/>
  <c r="W631" i="19"/>
  <c r="W647" i="19"/>
  <c r="W663" i="19"/>
  <c r="W679" i="19"/>
  <c r="W620" i="19"/>
  <c r="X631" i="19"/>
  <c r="W634" i="19"/>
  <c r="X647" i="19"/>
  <c r="W650" i="19"/>
  <c r="W666" i="19"/>
  <c r="W682" i="19"/>
  <c r="X571" i="19"/>
  <c r="X575" i="19"/>
  <c r="X579" i="19"/>
  <c r="X583" i="19"/>
  <c r="X587" i="19"/>
  <c r="X591" i="19"/>
  <c r="X595" i="19"/>
  <c r="X599" i="19"/>
  <c r="X603" i="19"/>
  <c r="X607" i="19"/>
  <c r="X611" i="19"/>
  <c r="X624" i="19"/>
  <c r="W627" i="19"/>
  <c r="X634" i="19"/>
  <c r="X640" i="19"/>
  <c r="W643" i="19"/>
  <c r="X650" i="19"/>
  <c r="X656" i="19"/>
  <c r="W659" i="19"/>
  <c r="W675" i="19"/>
  <c r="W691" i="19"/>
  <c r="X570" i="19"/>
  <c r="X574" i="19"/>
  <c r="X578" i="19"/>
  <c r="X582" i="19"/>
  <c r="X586" i="19"/>
  <c r="X590" i="19"/>
  <c r="X594" i="19"/>
  <c r="X598" i="19"/>
  <c r="X602" i="19"/>
  <c r="X606" i="19"/>
  <c r="X610" i="19"/>
  <c r="W614" i="19"/>
  <c r="X615" i="19"/>
  <c r="W619" i="19"/>
  <c r="W623" i="19"/>
  <c r="W639" i="19"/>
  <c r="W655" i="19"/>
  <c r="W671" i="19"/>
  <c r="W687" i="19"/>
  <c r="W695" i="19"/>
  <c r="W622" i="19"/>
  <c r="W630" i="19"/>
  <c r="W638" i="19"/>
  <c r="W646" i="19"/>
  <c r="W654" i="19"/>
  <c r="W662" i="19"/>
  <c r="W670" i="19"/>
  <c r="W678" i="19"/>
  <c r="W686" i="19"/>
  <c r="W694" i="19"/>
  <c r="W613" i="19"/>
  <c r="W621" i="19"/>
  <c r="W629" i="19"/>
  <c r="W637" i="19"/>
  <c r="W645" i="19"/>
  <c r="W653" i="19"/>
  <c r="W661" i="19"/>
  <c r="W669" i="19"/>
  <c r="W677" i="19"/>
  <c r="W685" i="19"/>
  <c r="W693" i="19"/>
  <c r="W692" i="19"/>
  <c r="W617" i="19"/>
  <c r="W625" i="19"/>
  <c r="W633" i="19"/>
  <c r="W641" i="19"/>
  <c r="W649" i="19"/>
  <c r="W657" i="19"/>
  <c r="W665" i="19"/>
  <c r="W673" i="19"/>
  <c r="W681" i="19"/>
  <c r="W689" i="19"/>
  <c r="W696" i="19"/>
  <c r="W624" i="19"/>
  <c r="W632" i="19"/>
  <c r="W640" i="19"/>
  <c r="W648" i="19"/>
  <c r="W656" i="19"/>
  <c r="W664" i="19"/>
  <c r="W672" i="19"/>
  <c r="W680" i="19"/>
  <c r="W688" i="19"/>
  <c r="X696" i="19"/>
  <c r="H29" i="19" l="1"/>
  <c r="G23" i="19"/>
  <c r="H11" i="19"/>
  <c r="H23" i="19"/>
  <c r="W68" i="19"/>
  <c r="W84" i="19"/>
  <c r="W80" i="19"/>
  <c r="W83" i="19"/>
  <c r="W81" i="19"/>
  <c r="W50" i="19"/>
  <c r="W20" i="19"/>
  <c r="W73" i="19"/>
  <c r="W19" i="19"/>
  <c r="W34" i="19"/>
  <c r="W32" i="19"/>
  <c r="W75" i="19"/>
  <c r="W33" i="19"/>
  <c r="U12" i="19"/>
  <c r="W16" i="19"/>
  <c r="W59" i="19"/>
  <c r="W21" i="19"/>
  <c r="R12" i="19"/>
  <c r="S12" i="19" s="1"/>
  <c r="H12" i="19"/>
  <c r="W58" i="19"/>
  <c r="W72" i="19"/>
  <c r="W17" i="19"/>
  <c r="W71" i="19"/>
  <c r="G46" i="19"/>
  <c r="W79" i="19"/>
  <c r="W61" i="19"/>
  <c r="W18" i="19"/>
  <c r="H50" i="19"/>
  <c r="W13" i="19"/>
  <c r="H79" i="19"/>
  <c r="W82" i="19"/>
  <c r="B21" i="19"/>
  <c r="B24" i="19" s="1"/>
  <c r="H71" i="19"/>
  <c r="X74" i="19"/>
  <c r="U84" i="19"/>
  <c r="R84" i="19"/>
  <c r="S84" i="19" s="1"/>
  <c r="R79" i="19"/>
  <c r="S79" i="19" s="1"/>
  <c r="U79" i="19"/>
  <c r="R71" i="19"/>
  <c r="S71" i="19" s="1"/>
  <c r="X71" i="19" s="1"/>
  <c r="U11" i="19"/>
  <c r="U83" i="19"/>
  <c r="R83" i="19"/>
  <c r="S83" i="19" s="1"/>
  <c r="U82" i="19"/>
  <c r="R82" i="19"/>
  <c r="S82" i="19" s="1"/>
  <c r="R81" i="19"/>
  <c r="S81" i="19" s="1"/>
  <c r="U81" i="19"/>
  <c r="U80" i="19"/>
  <c r="R80" i="19"/>
  <c r="S80" i="19" s="1"/>
  <c r="U75" i="19"/>
  <c r="R75" i="19"/>
  <c r="S75" i="19" s="1"/>
  <c r="U72" i="19"/>
  <c r="R72" i="19"/>
  <c r="S72" i="19" s="1"/>
  <c r="U73" i="19"/>
  <c r="R73" i="19"/>
  <c r="S73" i="19" s="1"/>
  <c r="R59" i="19"/>
  <c r="S59" i="19" s="1"/>
  <c r="U59" i="19"/>
  <c r="H61" i="19"/>
  <c r="U61" i="19"/>
  <c r="X61" i="19" s="1"/>
  <c r="R58" i="19"/>
  <c r="S58" i="19" s="1"/>
  <c r="U58" i="19"/>
  <c r="U50" i="19"/>
  <c r="R50" i="19"/>
  <c r="S50" i="19" s="1"/>
  <c r="U68" i="19"/>
  <c r="R68" i="19"/>
  <c r="S68" i="19" s="1"/>
  <c r="U32" i="19"/>
  <c r="R32" i="19"/>
  <c r="S32" i="19" s="1"/>
  <c r="R34" i="19"/>
  <c r="S34" i="19" s="1"/>
  <c r="U34" i="19"/>
  <c r="R33" i="19"/>
  <c r="S33" i="19" s="1"/>
  <c r="U33" i="19"/>
  <c r="P70" i="19"/>
  <c r="Q70" i="19" s="1"/>
  <c r="W70" i="19" s="1"/>
  <c r="R20" i="19"/>
  <c r="S20" i="19" s="1"/>
  <c r="U20" i="19"/>
  <c r="U16" i="19"/>
  <c r="R16" i="19"/>
  <c r="S16" i="19" s="1"/>
  <c r="R18" i="19"/>
  <c r="S18" i="19" s="1"/>
  <c r="U18" i="19"/>
  <c r="U21" i="19"/>
  <c r="R21" i="19"/>
  <c r="S21" i="19" s="1"/>
  <c r="R19" i="19"/>
  <c r="S19" i="19" s="1"/>
  <c r="U19" i="19"/>
  <c r="H16" i="19"/>
  <c r="U17" i="19"/>
  <c r="R17" i="19"/>
  <c r="S17" i="19" s="1"/>
  <c r="U13" i="19"/>
  <c r="R13" i="19"/>
  <c r="S13" i="19" s="1"/>
  <c r="T78" i="19"/>
  <c r="W78" i="19" s="1"/>
  <c r="W74" i="19"/>
  <c r="T46" i="19"/>
  <c r="P46" i="19"/>
  <c r="Q46" i="19" s="1"/>
  <c r="P15" i="19"/>
  <c r="Q15" i="19" s="1"/>
  <c r="W15" i="19" s="1"/>
  <c r="W9" i="19"/>
  <c r="P11" i="19"/>
  <c r="Q11" i="19" s="1"/>
  <c r="W11" i="19" s="1"/>
  <c r="W12" i="19"/>
  <c r="X9" i="19"/>
  <c r="X12" i="19" l="1"/>
  <c r="X84" i="19"/>
  <c r="R11" i="19"/>
  <c r="S11" i="19" s="1"/>
  <c r="X11" i="19" s="1"/>
  <c r="X82" i="19"/>
  <c r="X81" i="19"/>
  <c r="X79" i="19"/>
  <c r="X34" i="19"/>
  <c r="X58" i="19"/>
  <c r="X83" i="19"/>
  <c r="X80" i="19"/>
  <c r="U78" i="19"/>
  <c r="R78" i="19"/>
  <c r="S78" i="19" s="1"/>
  <c r="H78" i="19"/>
  <c r="X72" i="19"/>
  <c r="X75" i="19"/>
  <c r="X73" i="19"/>
  <c r="X59" i="19"/>
  <c r="U70" i="19"/>
  <c r="R70" i="19"/>
  <c r="S70" i="19" s="1"/>
  <c r="H70" i="19"/>
  <c r="X68" i="19"/>
  <c r="U46" i="19"/>
  <c r="H46" i="19"/>
  <c r="R46" i="19"/>
  <c r="S46" i="19" s="1"/>
  <c r="X50" i="19"/>
  <c r="X32" i="19"/>
  <c r="X33" i="19"/>
  <c r="X20" i="19"/>
  <c r="U15" i="19"/>
  <c r="R15" i="19"/>
  <c r="S15" i="19" s="1"/>
  <c r="X21" i="19"/>
  <c r="X17" i="19"/>
  <c r="X18" i="19"/>
  <c r="X19" i="19"/>
  <c r="X16" i="19"/>
  <c r="X13" i="19"/>
  <c r="W46" i="19"/>
  <c r="X15" i="19" l="1"/>
  <c r="X78" i="19"/>
  <c r="X70" i="19"/>
  <c r="X46" i="19"/>
  <c r="B30" i="19" l="1"/>
  <c r="B32" i="19" l="1"/>
  <c r="B36" i="19" s="1"/>
  <c r="B40" i="19" l="1"/>
  <c r="B44" i="19" s="1"/>
  <c r="B47" i="19" l="1"/>
  <c r="B49" i="19" s="1"/>
  <c r="B60" i="19" s="1"/>
  <c r="B71" i="19" l="1"/>
  <c r="B75" i="19" s="1"/>
  <c r="B79" i="19" l="1"/>
  <c r="B80" i="19" s="1"/>
  <c r="B81" i="19" s="1"/>
  <c r="B82" i="19" s="1"/>
  <c r="B83" i="19" s="1"/>
  <c r="B84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tc={E42A4017-F027-4814-AA42-70AD68261B4F}</author>
    <author>tc={E6BEC7A6-AAEB-4B7B-8777-12690B87E0A8}</author>
    <author>tc={C74B3AE9-AAFB-4352-9399-1FD4F32B12BC}</author>
  </authors>
  <commentList>
    <comment ref="D18" authorId="0" shapeId="0" xr:uid="{E42A4017-F027-4814-AA42-70AD68261B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Preparação de todo o plano com datas, com definições junto ao cliente se ele concorda e etc : iniciada no kick off encerrada quando todos tiverem de acordo com datas em geral do projeto</t>
      </text>
    </comment>
    <comment ref="D19" authorId="1" shapeId="0" xr:uid="{E6BEC7A6-AAEB-4B7B-8777-12690B87E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Plano paralelo do caso isso não ocorra na data planejada. No inicio do projeto, mas durante o projeto também podem surgir pontos</t>
      </text>
    </comment>
    <comment ref="E48" authorId="2" shapeId="0" xr:uid="{C74B3AE9-AAFB-4352-9399-1FD4F32B12BC}">
      <text>
        <t>[Threaded comment]
Your version of Excel allows you to read this threaded comment; however, any edits to it will get removed if the file is opened in a newer version of Excel. Learn more: https://go.microsoft.com/fwlink/?linkid=870924
Comment:
    Operação monta SOP - implementação valida</t>
      </text>
    </comment>
  </commentList>
</comments>
</file>

<file path=xl/sharedStrings.xml><?xml version="1.0" encoding="utf-8"?>
<sst xmlns="http://schemas.openxmlformats.org/spreadsheetml/2006/main" count="303" uniqueCount="163">
  <si>
    <t>Project Implementation Plan</t>
  </si>
  <si>
    <t>Corporate Business Implementation:</t>
  </si>
  <si>
    <t>Today</t>
  </si>
  <si>
    <t>On Track</t>
  </si>
  <si>
    <t>Latest update:</t>
  </si>
  <si>
    <t>Due Date - 2d</t>
  </si>
  <si>
    <t>On track</t>
  </si>
  <si>
    <t>Finished</t>
  </si>
  <si>
    <t>Postponed</t>
  </si>
  <si>
    <t>Delayed</t>
  </si>
  <si>
    <t>Not started</t>
  </si>
  <si>
    <t>On hold</t>
  </si>
  <si>
    <t>Overdue</t>
  </si>
  <si>
    <t>10</t>
  </si>
  <si>
    <t>11</t>
  </si>
  <si>
    <t>12</t>
  </si>
  <si>
    <t>13</t>
  </si>
  <si>
    <t>14</t>
  </si>
  <si>
    <t>Task ID</t>
  </si>
  <si>
    <t>Sub Task ID</t>
  </si>
  <si>
    <t>Task</t>
  </si>
  <si>
    <t>Responsible</t>
  </si>
  <si>
    <t>Planned start Date
dd/mm/yyyy</t>
  </si>
  <si>
    <t>Planned End Date
dd/mm/yyyy</t>
  </si>
  <si>
    <t>Days till planned finish</t>
  </si>
  <si>
    <t>Status</t>
  </si>
  <si>
    <t>Remarks</t>
  </si>
  <si>
    <t>Start week</t>
  </si>
  <si>
    <t>Column1</t>
  </si>
  <si>
    <t>End week</t>
  </si>
  <si>
    <t>Column2</t>
  </si>
  <si>
    <t>Start year</t>
  </si>
  <si>
    <t>End year</t>
  </si>
  <si>
    <t>Column3</t>
  </si>
  <si>
    <t>Column4</t>
  </si>
  <si>
    <t>Column5</t>
  </si>
  <si>
    <t>Award Letter Received</t>
  </si>
  <si>
    <t>Time de Implementação</t>
  </si>
  <si>
    <t>Project Management</t>
  </si>
  <si>
    <t>Project Administration</t>
  </si>
  <si>
    <t>Project Control, Reporting &amp; Communication</t>
  </si>
  <si>
    <t>Initiation</t>
  </si>
  <si>
    <t>Sales Handover (BIM Assessment Tool and Sales Handover Form)</t>
  </si>
  <si>
    <t>Comercial</t>
  </si>
  <si>
    <t>Project Setup</t>
  </si>
  <si>
    <t>202.1</t>
  </si>
  <si>
    <t xml:space="preserve">  Project Organization</t>
  </si>
  <si>
    <t>202.2</t>
  </si>
  <si>
    <t xml:space="preserve">  Risk and Mitigation Plan</t>
  </si>
  <si>
    <t>Internal kick-off Meeting / Call</t>
  </si>
  <si>
    <t>External kick-off Meeting / Call</t>
  </si>
  <si>
    <t>Design</t>
  </si>
  <si>
    <t>Legal</t>
  </si>
  <si>
    <t>301.1</t>
  </si>
  <si>
    <t xml:space="preserve">  Commercial Topics</t>
  </si>
  <si>
    <t>301.2</t>
  </si>
  <si>
    <t xml:space="preserve">  Draft Contract</t>
  </si>
  <si>
    <t>301.3</t>
  </si>
  <si>
    <t xml:space="preserve">  Signed Contract</t>
  </si>
  <si>
    <t>Recruiting Plan</t>
  </si>
  <si>
    <t xml:space="preserve">  Establish Job Descriptions</t>
  </si>
  <si>
    <t>Solution Engineering - Fase 1 (Customs)</t>
  </si>
  <si>
    <t xml:space="preserve">    AS-IS Process Analysis</t>
  </si>
  <si>
    <t xml:space="preserve">    TO-BE Process Flow Design</t>
  </si>
  <si>
    <t xml:space="preserve">    Flowchart</t>
  </si>
  <si>
    <t>Document Management</t>
  </si>
  <si>
    <t xml:space="preserve">    Define Reporting Requirements</t>
  </si>
  <si>
    <t xml:space="preserve">    KPI Definition</t>
  </si>
  <si>
    <t xml:space="preserve">    Dashboard Definition</t>
  </si>
  <si>
    <t>Solution Engineering - Fase 2 (Catálogo de Produtos)</t>
  </si>
  <si>
    <t>Realization</t>
  </si>
  <si>
    <t>Operations / Business Process</t>
  </si>
  <si>
    <t>401.1</t>
  </si>
  <si>
    <t xml:space="preserve">   Local SOP's Creation</t>
  </si>
  <si>
    <t>402.1</t>
  </si>
  <si>
    <t xml:space="preserve">   Register (AFRMM/Siscomex)</t>
  </si>
  <si>
    <t>402.2</t>
  </si>
  <si>
    <t xml:space="preserve">   Register (ICMS)</t>
  </si>
  <si>
    <t>402.3</t>
  </si>
  <si>
    <t xml:space="preserve">   Register (Órgãos Anuentes)</t>
  </si>
  <si>
    <t xml:space="preserve">   Register (SigVig)</t>
  </si>
  <si>
    <t xml:space="preserve">   Register (Tax)</t>
  </si>
  <si>
    <t xml:space="preserve">   Register (Bank)</t>
  </si>
  <si>
    <t xml:space="preserve">   Register (CW1)</t>
  </si>
  <si>
    <t xml:space="preserve">   Issue/Receive Customs Broker Documents (CNPJ)</t>
  </si>
  <si>
    <t xml:space="preserve">   Issue/Receive Customs Broker Documents (Radar)</t>
  </si>
  <si>
    <t xml:space="preserve">   Issue/Receive Customs Broker Documents (POA)</t>
  </si>
  <si>
    <t>System &amp; Connectivity</t>
  </si>
  <si>
    <t>403.1</t>
  </si>
  <si>
    <t xml:space="preserve">   System Configuration &amp; User Tests  </t>
  </si>
  <si>
    <t>403.2</t>
  </si>
  <si>
    <t xml:space="preserve">   Operational User Training</t>
  </si>
  <si>
    <t>403.3</t>
  </si>
  <si>
    <t xml:space="preserve">   System Configuration and Development (Follow.Net)</t>
  </si>
  <si>
    <t xml:space="preserve">   XML Configuration (Nota Fiscal)</t>
  </si>
  <si>
    <t xml:space="preserve">   Operational User Training (Follow.Net)</t>
  </si>
  <si>
    <t>Billing Process</t>
  </si>
  <si>
    <t xml:space="preserve">   Billing Alignment</t>
  </si>
  <si>
    <t xml:space="preserve">   Register DSV's CNPJ - Client System</t>
  </si>
  <si>
    <t xml:space="preserve">   Billing Trial</t>
  </si>
  <si>
    <t>SOP's Approval</t>
  </si>
  <si>
    <t>Cliente</t>
  </si>
  <si>
    <t>Integration</t>
  </si>
  <si>
    <t>Establish Roll-out Plan</t>
  </si>
  <si>
    <t>501.1</t>
  </si>
  <si>
    <t>Go-Live Readiness Status Report</t>
  </si>
  <si>
    <t>Conduct Trial Process</t>
  </si>
  <si>
    <t>Adjust SOP Aligned with Trial Result</t>
  </si>
  <si>
    <t>Go Live - Wave 1</t>
  </si>
  <si>
    <t>Evaluation</t>
  </si>
  <si>
    <t>Process Adjustments</t>
  </si>
  <si>
    <t>System &amp; Connectivity (OSGT &amp; Follow Net)</t>
  </si>
  <si>
    <t>Customer Satisfaction Survey</t>
  </si>
  <si>
    <t>Internal Project Closing Meeting</t>
  </si>
  <si>
    <t xml:space="preserve">External Project Closing Meeting </t>
  </si>
  <si>
    <t>Project Closure</t>
  </si>
  <si>
    <t>Not Started</t>
  </si>
  <si>
    <t>Total</t>
  </si>
  <si>
    <t>Time de Implementação / Líder operacional</t>
  </si>
  <si>
    <t>Time de Implementação / Líder Operacional</t>
  </si>
  <si>
    <t>Systems</t>
  </si>
  <si>
    <t>Time de Implementação / Brokers</t>
  </si>
  <si>
    <t>Time de Implementação / Time Operacional</t>
  </si>
  <si>
    <t>Gerente Operacional</t>
  </si>
  <si>
    <r>
      <t xml:space="preserve">Systems </t>
    </r>
    <r>
      <rPr>
        <b/>
        <sz val="10"/>
        <color rgb="FF000090"/>
        <rFont val="Arial Unicode MS"/>
      </rPr>
      <t xml:space="preserve"> / </t>
    </r>
    <r>
      <rPr>
        <sz val="10"/>
        <color indexed="18"/>
        <rFont val="Arial Unicode MS"/>
        <family val="2"/>
      </rPr>
      <t>Time Operacional</t>
    </r>
  </si>
  <si>
    <t>405.1</t>
  </si>
  <si>
    <t>405.2</t>
  </si>
  <si>
    <t>405.3</t>
  </si>
  <si>
    <t>502.1</t>
  </si>
  <si>
    <t>502.2</t>
  </si>
  <si>
    <t>502.3</t>
  </si>
  <si>
    <t>502.4</t>
  </si>
  <si>
    <t>502.5</t>
  </si>
  <si>
    <t>502.6</t>
  </si>
  <si>
    <t>502.7</t>
  </si>
  <si>
    <t>502.8</t>
  </si>
  <si>
    <t>502.9</t>
  </si>
  <si>
    <t>502.10</t>
  </si>
  <si>
    <t>503.1</t>
  </si>
  <si>
    <t>503.2</t>
  </si>
  <si>
    <t>503.3</t>
  </si>
  <si>
    <t>503.4</t>
  </si>
  <si>
    <t>503.5</t>
  </si>
  <si>
    <t>503.6</t>
  </si>
  <si>
    <t>503.7</t>
  </si>
  <si>
    <t>503.8</t>
  </si>
  <si>
    <t>601.1</t>
  </si>
  <si>
    <t>601.2</t>
  </si>
  <si>
    <t>601.3</t>
  </si>
  <si>
    <t>The weekly calls will be held regularly via Teams on Tuesdays at 5:00 PM (Brazil time).</t>
  </si>
  <si>
    <t>Topics will be updated weekly during the calls, and email communications will follow a single thread consolidating all open tasks</t>
  </si>
  <si>
    <t>24/03 - External Kick off call</t>
  </si>
  <si>
    <t>30/03 - Masterfile received</t>
  </si>
  <si>
    <t>31/03 - 384 items were identified for analysis, and any questions will be reverted to Loro Piana within 7 days | 07/04 - DSV sent to Loro Piana the NCMs classification , DSVs operational team will send the LI/LPCO needs</t>
  </si>
  <si>
    <t>Loro Piana’s operation in Brazil is new, and we will work together to build a process flow that meets expectations, based on your internal processes, specific needs, and DSV’s expertise in customs clearance for luxury clients.</t>
  </si>
  <si>
    <t>01/04 - SOP currently under development.</t>
  </si>
  <si>
    <t xml:space="preserve">25/03 - Billing questions sent to Loro Piana; |  01/04 – Loro Piana responded to some questions :• What is the preferred date for issuing invoices? End of Month
•	Besides the invoice, is there a need to send additional documents, such as the payment slip (boleto)? To be confirmed
•	To which contacts should the invoices be sent? To be confirmed
•	Which CNPJ should be used for issuing the service invoices (Nota Fiscal)? 65.646.784/0001-75
•	Is there any other relevant billing topic we should take into consideration? No" </t>
  </si>
  <si>
    <t>25/03 - Questions regarding TAX sent to Loro Piana; | 01/04 - Loro Piana informed that these points are still to be defined.</t>
  </si>
  <si>
    <t>04/04 - Internal clarification requested on Loro Piana’s item 64. (DSV's internal process)</t>
  </si>
  <si>
    <t>04/04 – DSV requested confirmation on whether Loro Piana already holds a bank account in Brazil for registration purposes.</t>
  </si>
  <si>
    <t>25/03 - Questions regarding POA sent to Loro Piana; | 01/04 - Loro Piana responded to the questions | 
04/04 - DSV sent the Power of Attorney template to Loro Piana for review</t>
  </si>
  <si>
    <t>25/03 - Questionnaire sent to Loro Piana | 04/04 – Nota Fiscal questionnaire pending. DSV has included Bruno to follow up on the XML and PDF invoice samples requested by Loro Piana.</t>
  </si>
  <si>
    <t>Responsible: Luiza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</si>
</sst>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000"/>
  </numFmts>
  <fonts count="2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18"/>
      <name val="Arial Unicode MS"/>
      <family val="2"/>
    </font>
    <font>
      <sz val="10"/>
      <color indexed="18"/>
      <name val="Arial Unicode MS"/>
      <family val="2"/>
    </font>
    <font>
      <sz val="9"/>
      <color indexed="10"/>
      <name val="Geneva"/>
      <family val="2"/>
    </font>
    <font>
      <b/>
      <sz val="10"/>
      <color theme="0"/>
      <name val="Arial"/>
      <family val="2"/>
    </font>
    <font>
      <sz val="10"/>
      <color rgb="FF000080"/>
      <name val="Arial Unicode MS"/>
      <family val="2"/>
    </font>
    <font>
      <b/>
      <sz val="10"/>
      <color rgb="FF000080"/>
      <name val="Arial Unicode MS"/>
      <family val="2"/>
    </font>
    <font>
      <sz val="10"/>
      <name val="Arial Unicode MS"/>
      <family val="2"/>
    </font>
    <font>
      <b/>
      <sz val="10"/>
      <name val="Arial Unicode MS"/>
      <family val="2"/>
    </font>
    <font>
      <sz val="11"/>
      <color indexed="8"/>
      <name val="Calibri"/>
      <family val="2"/>
      <scheme val="minor"/>
    </font>
    <font>
      <b/>
      <sz val="20"/>
      <color indexed="18"/>
      <name val="Arial Unicode MS"/>
      <family val="2"/>
    </font>
    <font>
      <sz val="10"/>
      <color theme="3"/>
      <name val="Arial Unicode MS"/>
      <family val="2"/>
    </font>
    <font>
      <sz val="10"/>
      <color theme="3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color rgb="FFFF0000"/>
      <name val="Arial Unicode MS"/>
      <family val="2"/>
    </font>
    <font>
      <sz val="10"/>
      <color rgb="FFFF0000"/>
      <name val="Arial"/>
      <family val="2"/>
    </font>
    <font>
      <b/>
      <sz val="10"/>
      <color rgb="FF000090"/>
      <name val="Arial Unicode MS"/>
    </font>
    <font>
      <sz val="10"/>
      <color theme="3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" fillId="0" borderId="0"/>
    <xf numFmtId="0" fontId="14" fillId="0" borderId="0"/>
  </cellStyleXfs>
  <cellXfs count="155">
    <xf numFmtId="0" fontId="0" fillId="0" borderId="0" xfId="0"/>
    <xf numFmtId="0" fontId="2" fillId="0" borderId="10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  <protection locked="0"/>
    </xf>
    <xf numFmtId="164" fontId="9" fillId="3" borderId="5" xfId="0" applyNumberFormat="1" applyFont="1" applyFill="1" applyBorder="1" applyAlignment="1" applyProtection="1">
      <alignment horizontal="center" vertical="center" wrapText="1"/>
      <protection locked="0"/>
    </xf>
    <xf numFmtId="1" fontId="9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5" xfId="0" applyFont="1" applyFill="1" applyBorder="1" applyAlignment="1">
      <alignment horizontal="center" vertical="center"/>
    </xf>
    <xf numFmtId="0" fontId="9" fillId="3" borderId="0" xfId="0" applyFont="1" applyFill="1" applyAlignment="1" applyProtection="1">
      <alignment horizontal="center" vertical="center" wrapText="1"/>
      <protection locked="0"/>
    </xf>
    <xf numFmtId="0" fontId="0" fillId="0" borderId="4" xfId="0" applyBorder="1"/>
    <xf numFmtId="0" fontId="0" fillId="0" borderId="14" xfId="0" applyBorder="1"/>
    <xf numFmtId="49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left" vertical="center" wrapText="1"/>
    </xf>
    <xf numFmtId="49" fontId="16" fillId="0" borderId="2" xfId="0" applyNumberFormat="1" applyFont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1" fillId="0" borderId="8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164" fontId="1" fillId="0" borderId="9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14" fontId="0" fillId="0" borderId="0" xfId="0" applyNumberFormat="1" applyAlignment="1">
      <alignment horizontal="left" vertical="center" wrapText="1"/>
    </xf>
    <xf numFmtId="164" fontId="0" fillId="0" borderId="10" xfId="0" applyNumberForma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12" xfId="0" applyFont="1" applyBorder="1" applyAlignment="1">
      <alignment vertical="center" wrapText="1"/>
    </xf>
    <xf numFmtId="164" fontId="0" fillId="0" borderId="1" xfId="0" applyNumberFormat="1" applyBorder="1" applyAlignment="1" applyProtection="1">
      <alignment vertical="center" wrapText="1"/>
      <protection locked="0"/>
    </xf>
    <xf numFmtId="164" fontId="0" fillId="0" borderId="13" xfId="0" applyNumberFormat="1" applyBorder="1" applyAlignment="1" applyProtection="1">
      <alignment vertical="center" wrapText="1"/>
      <protection locked="0"/>
    </xf>
    <xf numFmtId="0" fontId="2" fillId="0" borderId="12" xfId="0" applyFont="1" applyBorder="1" applyAlignment="1" applyProtection="1">
      <alignment vertical="center" wrapText="1"/>
      <protection locked="0"/>
    </xf>
    <xf numFmtId="0" fontId="0" fillId="0" borderId="13" xfId="0" applyBorder="1" applyAlignment="1">
      <alignment vertical="center"/>
    </xf>
    <xf numFmtId="0" fontId="0" fillId="0" borderId="0" xfId="0" applyAlignment="1" applyProtection="1">
      <alignment vertical="center" wrapText="1"/>
      <protection locked="0"/>
    </xf>
    <xf numFmtId="164" fontId="0" fillId="0" borderId="0" xfId="0" applyNumberFormat="1" applyAlignment="1" applyProtection="1">
      <alignment vertical="center" wrapText="1"/>
      <protection locked="0"/>
    </xf>
    <xf numFmtId="1" fontId="0" fillId="0" borderId="0" xfId="0" applyNumberFormat="1" applyAlignment="1" applyProtection="1">
      <alignment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49" fontId="5" fillId="3" borderId="4" xfId="0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4" fillId="2" borderId="3" xfId="0" applyFont="1" applyFill="1" applyBorder="1" applyAlignment="1">
      <alignment vertical="center" wrapText="1"/>
    </xf>
    <xf numFmtId="0" fontId="5" fillId="3" borderId="5" xfId="0" applyFont="1" applyFill="1" applyBorder="1" applyAlignment="1" applyProtection="1">
      <alignment vertical="center" textRotation="90"/>
      <protection locked="0"/>
    </xf>
    <xf numFmtId="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 applyProtection="1">
      <alignment vertical="center"/>
      <protection locked="0"/>
    </xf>
    <xf numFmtId="164" fontId="1" fillId="0" borderId="6" xfId="0" applyNumberFormat="1" applyFont="1" applyBorder="1" applyAlignment="1" applyProtection="1">
      <alignment vertical="center"/>
      <protection locked="0"/>
    </xf>
    <xf numFmtId="1" fontId="1" fillId="0" borderId="6" xfId="0" applyNumberFormat="1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65" fontId="10" fillId="0" borderId="6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center"/>
    </xf>
    <xf numFmtId="164" fontId="0" fillId="0" borderId="0" xfId="0" applyNumberFormat="1" applyAlignment="1">
      <alignment vertical="center"/>
    </xf>
    <xf numFmtId="1" fontId="6" fillId="4" borderId="2" xfId="0" quotePrefix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vertical="center"/>
    </xf>
    <xf numFmtId="49" fontId="6" fillId="4" borderId="2" xfId="0" applyNumberFormat="1" applyFont="1" applyFill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center" vertical="center"/>
    </xf>
    <xf numFmtId="1" fontId="11" fillId="4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 applyProtection="1">
      <alignment vertical="center" wrapText="1"/>
      <protection locked="0"/>
    </xf>
    <xf numFmtId="0" fontId="12" fillId="4" borderId="2" xfId="0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49" fontId="7" fillId="5" borderId="2" xfId="0" applyNumberFormat="1" applyFont="1" applyFill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7" fillId="0" borderId="2" xfId="0" applyFont="1" applyBorder="1" applyAlignment="1" applyProtection="1">
      <alignment vertical="center" wrapText="1"/>
      <protection locked="0"/>
    </xf>
    <xf numFmtId="164" fontId="0" fillId="0" borderId="0" xfId="0" applyNumberFormat="1" applyAlignment="1" applyProtection="1">
      <alignment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1" fontId="0" fillId="0" borderId="0" xfId="0" applyNumberFormat="1" applyAlignment="1">
      <alignment vertical="center"/>
    </xf>
    <xf numFmtId="0" fontId="15" fillId="0" borderId="0" xfId="0" applyFont="1" applyAlignment="1">
      <alignment vertical="center" wrapText="1"/>
    </xf>
    <xf numFmtId="0" fontId="1" fillId="0" borderId="2" xfId="0" applyFont="1" applyBorder="1" applyAlignment="1" applyProtection="1">
      <alignment vertical="center" wrapText="1"/>
      <protection locked="0"/>
    </xf>
    <xf numFmtId="0" fontId="0" fillId="4" borderId="2" xfId="0" applyFill="1" applyBorder="1" applyAlignment="1" applyProtection="1">
      <alignment vertical="center" wrapText="1"/>
      <protection locked="0"/>
    </xf>
    <xf numFmtId="0" fontId="12" fillId="4" borderId="2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vertical="center" wrapText="1"/>
    </xf>
    <xf numFmtId="1" fontId="1" fillId="0" borderId="0" xfId="0" applyNumberFormat="1" applyFont="1" applyAlignment="1">
      <alignment vertical="center"/>
    </xf>
    <xf numFmtId="0" fontId="21" fillId="0" borderId="0" xfId="0" applyFont="1" applyAlignment="1" applyProtection="1">
      <alignment vertical="center"/>
      <protection locked="0"/>
    </xf>
    <xf numFmtId="0" fontId="21" fillId="0" borderId="0" xfId="0" applyFont="1" applyAlignment="1">
      <alignment vertical="center"/>
    </xf>
    <xf numFmtId="164" fontId="21" fillId="0" borderId="0" xfId="0" applyNumberFormat="1" applyFont="1" applyAlignment="1">
      <alignment vertical="center"/>
    </xf>
    <xf numFmtId="0" fontId="1" fillId="4" borderId="2" xfId="0" applyFont="1" applyFill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7" fillId="0" borderId="2" xfId="0" applyNumberFormat="1" applyFont="1" applyBorder="1" applyAlignment="1">
      <alignment horizontal="center"/>
    </xf>
    <xf numFmtId="49" fontId="16" fillId="0" borderId="2" xfId="0" applyNumberFormat="1" applyFont="1" applyBorder="1" applyAlignment="1">
      <alignment horizontal="left" wrapText="1"/>
    </xf>
    <xf numFmtId="49" fontId="7" fillId="0" borderId="2" xfId="0" applyNumberFormat="1" applyFont="1" applyBorder="1" applyAlignment="1">
      <alignment horizontal="left"/>
    </xf>
    <xf numFmtId="0" fontId="17" fillId="0" borderId="2" xfId="0" applyFont="1" applyBorder="1" applyAlignment="1" applyProtection="1">
      <alignment wrapText="1"/>
      <protection locked="0"/>
    </xf>
    <xf numFmtId="49" fontId="16" fillId="0" borderId="2" xfId="0" applyNumberFormat="1" applyFont="1" applyBorder="1" applyAlignment="1">
      <alignment horizontal="left"/>
    </xf>
    <xf numFmtId="49" fontId="23" fillId="0" borderId="2" xfId="0" applyNumberFormat="1" applyFont="1" applyBorder="1" applyAlignment="1">
      <alignment horizontal="left" wrapText="1"/>
    </xf>
    <xf numFmtId="1" fontId="6" fillId="6" borderId="2" xfId="0" quotePrefix="1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vertical="center"/>
    </xf>
    <xf numFmtId="1" fontId="7" fillId="6" borderId="2" xfId="0" applyNumberFormat="1" applyFont="1" applyFill="1" applyBorder="1" applyAlignment="1">
      <alignment horizontal="center" vertical="center" wrapText="1"/>
    </xf>
    <xf numFmtId="49" fontId="7" fillId="6" borderId="2" xfId="0" applyNumberFormat="1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center" vertical="center"/>
    </xf>
    <xf numFmtId="49" fontId="16" fillId="6" borderId="2" xfId="0" applyNumberFormat="1" applyFont="1" applyFill="1" applyBorder="1" applyAlignment="1">
      <alignment horizontal="left" vertical="center"/>
    </xf>
    <xf numFmtId="1" fontId="6" fillId="7" borderId="2" xfId="0" quotePrefix="1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vertical="center"/>
    </xf>
    <xf numFmtId="1" fontId="7" fillId="7" borderId="2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center" vertical="center"/>
    </xf>
    <xf numFmtId="49" fontId="16" fillId="7" borderId="2" xfId="0" applyNumberFormat="1" applyFont="1" applyFill="1" applyBorder="1" applyAlignment="1">
      <alignment horizontal="left" vertical="center" wrapText="1"/>
    </xf>
    <xf numFmtId="1" fontId="6" fillId="8" borderId="2" xfId="0" quotePrefix="1" applyNumberFormat="1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49" fontId="6" fillId="8" borderId="2" xfId="0" applyNumberFormat="1" applyFont="1" applyFill="1" applyBorder="1" applyAlignment="1">
      <alignment vertical="center"/>
    </xf>
    <xf numFmtId="1" fontId="7" fillId="8" borderId="2" xfId="0" applyNumberFormat="1" applyFont="1" applyFill="1" applyBorder="1" applyAlignment="1">
      <alignment horizontal="center" vertical="center" wrapText="1"/>
    </xf>
    <xf numFmtId="49" fontId="7" fillId="8" borderId="2" xfId="0" applyNumberFormat="1" applyFont="1" applyFill="1" applyBorder="1" applyAlignment="1">
      <alignment horizontal="left" vertical="center" wrapText="1"/>
    </xf>
    <xf numFmtId="0" fontId="17" fillId="8" borderId="2" xfId="0" applyFont="1" applyFill="1" applyBorder="1" applyAlignment="1">
      <alignment horizontal="center" vertical="center"/>
    </xf>
    <xf numFmtId="49" fontId="16" fillId="8" borderId="2" xfId="0" applyNumberFormat="1" applyFont="1" applyFill="1" applyBorder="1" applyAlignment="1">
      <alignment horizontal="left" vertical="center" wrapText="1"/>
    </xf>
    <xf numFmtId="49" fontId="7" fillId="8" borderId="2" xfId="0" applyNumberFormat="1" applyFont="1" applyFill="1" applyBorder="1" applyAlignment="1">
      <alignment horizontal="left" vertical="center"/>
    </xf>
    <xf numFmtId="49" fontId="16" fillId="8" borderId="2" xfId="0" applyNumberFormat="1" applyFont="1" applyFill="1" applyBorder="1" applyAlignment="1">
      <alignment horizontal="left" vertical="center"/>
    </xf>
    <xf numFmtId="1" fontId="20" fillId="8" borderId="2" xfId="0" applyNumberFormat="1" applyFont="1" applyFill="1" applyBorder="1" applyAlignment="1">
      <alignment horizontal="center" vertical="center" wrapText="1"/>
    </xf>
    <xf numFmtId="1" fontId="7" fillId="9" borderId="2" xfId="0" applyNumberFormat="1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left" vertical="center" wrapText="1"/>
    </xf>
    <xf numFmtId="49" fontId="16" fillId="9" borderId="2" xfId="0" applyNumberFormat="1" applyFont="1" applyFill="1" applyBorder="1" applyAlignment="1">
      <alignment horizontal="left" vertical="center" wrapText="1"/>
    </xf>
    <xf numFmtId="1" fontId="20" fillId="9" borderId="2" xfId="0" applyNumberFormat="1" applyFont="1" applyFill="1" applyBorder="1" applyAlignment="1">
      <alignment horizontal="center" vertical="center" wrapText="1"/>
    </xf>
    <xf numFmtId="1" fontId="7" fillId="10" borderId="2" xfId="0" applyNumberFormat="1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/>
    </xf>
    <xf numFmtId="49" fontId="7" fillId="10" borderId="2" xfId="0" applyNumberFormat="1" applyFont="1" applyFill="1" applyBorder="1" applyAlignment="1">
      <alignment horizontal="left" vertical="center" wrapText="1"/>
    </xf>
    <xf numFmtId="49" fontId="16" fillId="10" borderId="2" xfId="0" applyNumberFormat="1" applyFont="1" applyFill="1" applyBorder="1" applyAlignment="1">
      <alignment horizontal="left" vertical="center" wrapText="1"/>
    </xf>
    <xf numFmtId="49" fontId="16" fillId="10" borderId="2" xfId="0" applyNumberFormat="1" applyFont="1" applyFill="1" applyBorder="1" applyAlignment="1">
      <alignment horizontal="left" vertical="center"/>
    </xf>
    <xf numFmtId="1" fontId="6" fillId="11" borderId="2" xfId="0" applyNumberFormat="1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/>
    </xf>
    <xf numFmtId="49" fontId="6" fillId="11" borderId="2" xfId="0" applyNumberFormat="1" applyFont="1" applyFill="1" applyBorder="1" applyAlignment="1">
      <alignment horizontal="left" vertical="center"/>
    </xf>
    <xf numFmtId="1" fontId="7" fillId="11" borderId="2" xfId="0" applyNumberFormat="1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left" vertical="center"/>
    </xf>
    <xf numFmtId="0" fontId="17" fillId="11" borderId="2" xfId="0" applyFont="1" applyFill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left" vertical="center" wrapText="1"/>
    </xf>
    <xf numFmtId="49" fontId="16" fillId="11" borderId="2" xfId="0" applyNumberFormat="1" applyFont="1" applyFill="1" applyBorder="1" applyAlignment="1">
      <alignment horizontal="left" vertical="center"/>
    </xf>
    <xf numFmtId="49" fontId="7" fillId="11" borderId="2" xfId="0" applyNumberFormat="1" applyFont="1" applyFill="1" applyBorder="1" applyAlignment="1">
      <alignment vertical="center"/>
    </xf>
    <xf numFmtId="1" fontId="6" fillId="12" borderId="2" xfId="0" applyNumberFormat="1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/>
    </xf>
    <xf numFmtId="49" fontId="6" fillId="12" borderId="2" xfId="0" applyNumberFormat="1" applyFont="1" applyFill="1" applyBorder="1" applyAlignment="1">
      <alignment horizontal="left" vertical="center"/>
    </xf>
    <xf numFmtId="1" fontId="7" fillId="12" borderId="2" xfId="0" applyNumberFormat="1" applyFont="1" applyFill="1" applyBorder="1" applyAlignment="1">
      <alignment horizontal="center" vertical="center" wrapText="1"/>
    </xf>
    <xf numFmtId="49" fontId="7" fillId="12" borderId="2" xfId="0" applyNumberFormat="1" applyFont="1" applyFill="1" applyBorder="1" applyAlignment="1">
      <alignment horizontal="center" vertical="center" wrapText="1"/>
    </xf>
    <xf numFmtId="49" fontId="7" fillId="12" borderId="2" xfId="0" applyNumberFormat="1" applyFont="1" applyFill="1" applyBorder="1" applyAlignment="1">
      <alignment horizontal="left" vertical="center" wrapText="1"/>
    </xf>
    <xf numFmtId="49" fontId="7" fillId="12" borderId="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left" vertical="center"/>
    </xf>
  </cellXfs>
  <cellStyles count="4">
    <cellStyle name="_x0004_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</cellStyles>
  <dxfs count="153"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ill>
        <patternFill>
          <bgColor indexed="50"/>
        </patternFill>
      </fill>
    </dxf>
    <dxf>
      <fill>
        <patternFill>
          <bgColor indexed="10"/>
        </patternFill>
      </fill>
    </dxf>
    <dxf>
      <fill>
        <patternFill>
          <bgColor indexed="5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50"/>
        </patternFill>
      </fill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ill>
        <patternFill>
          <bgColor indexed="5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5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50"/>
        </patternFill>
      </fill>
    </dxf>
    <dxf>
      <fill>
        <patternFill>
          <bgColor indexed="50"/>
        </patternFill>
      </fill>
    </dxf>
    <dxf>
      <fill>
        <patternFill>
          <bgColor indexed="10"/>
        </patternFill>
      </fill>
    </dxf>
    <dxf>
      <fill>
        <patternFill>
          <bgColor indexed="50"/>
        </patternFill>
      </fill>
    </dxf>
    <dxf>
      <fill>
        <patternFill>
          <bgColor indexed="10"/>
        </patternFill>
      </fill>
    </dxf>
    <dxf>
      <fill>
        <patternFill>
          <bgColor indexed="50"/>
        </patternFill>
      </fill>
    </dxf>
    <dxf>
      <fill>
        <patternFill>
          <bgColor indexed="10"/>
        </patternFill>
      </fill>
    </dxf>
    <dxf>
      <fill>
        <patternFill>
          <bgColor indexed="50"/>
        </patternFill>
      </fill>
    </dxf>
    <dxf>
      <fill>
        <patternFill>
          <bgColor indexed="5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50"/>
        </patternFill>
      </fill>
    </dxf>
    <dxf>
      <fill>
        <patternFill>
          <bgColor indexed="10"/>
        </patternFill>
      </fill>
    </dxf>
    <dxf>
      <fill>
        <patternFill>
          <bgColor indexed="50"/>
        </patternFill>
      </fill>
    </dxf>
    <dxf>
      <fill>
        <patternFill>
          <bgColor indexed="50"/>
        </patternFill>
      </fill>
    </dxf>
    <dxf>
      <fill>
        <patternFill>
          <bgColor indexed="10"/>
        </patternFill>
      </fill>
    </dxf>
    <dxf>
      <fill>
        <patternFill>
          <bgColor indexed="50"/>
        </patternFill>
      </fill>
    </dxf>
    <dxf>
      <fill>
        <patternFill>
          <bgColor indexed="10"/>
        </patternFill>
      </fill>
    </dxf>
    <dxf>
      <fill>
        <patternFill>
          <bgColor indexed="5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50"/>
      </font>
    </dxf>
    <dxf>
      <alignment vertical="center" indent="0" justifyLastLine="0" shrinkToFit="0" readingOrder="0"/>
      <protection locked="1" hidden="0"/>
    </dxf>
    <dxf>
      <alignment vertical="center" indent="0" justifyLastLine="0" shrinkToFit="0" readingOrder="0"/>
      <protection locked="1" hidden="0"/>
    </dxf>
    <dxf>
      <alignment vertical="center" indent="0" justifyLastLine="0" shrinkToFit="0" readingOrder="0"/>
      <protection locked="1" hidden="0"/>
    </dxf>
    <dxf>
      <alignment vertical="center" indent="0" justifyLastLine="0" shrinkToFit="0" readingOrder="0"/>
      <protection locked="1" hidden="0"/>
    </dxf>
    <dxf>
      <alignment vertical="center" indent="0" justifyLastLine="0" shrinkToFit="0" readingOrder="0"/>
      <protection locked="1" hidden="0"/>
    </dxf>
    <dxf>
      <alignment vertical="center" indent="0" justifyLastLine="0" shrinkToFit="0" readingOrder="0"/>
      <protection locked="1" hidden="0"/>
    </dxf>
    <dxf>
      <alignment vertical="center" indent="0" justifyLastLine="0" shrinkToFit="0" readingOrder="0"/>
      <protection locked="1" hidden="0"/>
    </dxf>
    <dxf>
      <alignment vertical="center" indent="0" justifyLastLine="0" shrinkToFit="0" readingOrder="0"/>
      <protection locked="1" hidden="0"/>
    </dxf>
    <dxf>
      <alignment vertical="center" indent="0" justifyLastLine="0" shrinkToFit="0" readingOrder="0"/>
      <protection locked="1" hidden="0"/>
    </dxf>
    <dxf>
      <border outline="0">
        <top style="thin">
          <color rgb="FF000000"/>
        </top>
      </border>
    </dxf>
    <dxf>
      <alignment vertical="center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64"/>
          <bgColor indexed="5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33"/>
      <color rgb="FF4D4D4D"/>
      <color rgb="FF777777"/>
      <color rgb="FFCC3300"/>
      <color rgb="FF000080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1111111111111112E-2"/>
          <c:y val="0.19949074074074077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3CC-482A-9A19-41C3EA90ED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43CC-482A-9A19-41C3EA90ED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3CC-482A-9A19-41C3EA90ED7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Sheet1!$C$4:$C$6</c:f>
              <c:strCache>
                <c:ptCount val="3"/>
                <c:pt idx="0">
                  <c:v>Not Started</c:v>
                </c:pt>
                <c:pt idx="1">
                  <c:v>On track</c:v>
                </c:pt>
                <c:pt idx="2">
                  <c:v>Finished</c:v>
                </c:pt>
              </c:strCache>
            </c:strRef>
          </c:cat>
          <c:val>
            <c:numRef>
              <c:f>Sheet1!$D$4:$D$6</c:f>
              <c:numCache>
                <c:formatCode>General</c:formatCode>
                <c:ptCount val="3"/>
                <c:pt idx="0">
                  <c:v>44</c:v>
                </c:pt>
                <c:pt idx="1">
                  <c:v>19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C-482A-9A19-41C3EA90ED73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488155</xdr:colOff>
      <xdr:row>2</xdr:row>
      <xdr:rowOff>11907</xdr:rowOff>
    </xdr:from>
    <xdr:to>
      <xdr:col>8</xdr:col>
      <xdr:colOff>739615</xdr:colOff>
      <xdr:row>3</xdr:row>
      <xdr:rowOff>21823</xdr:rowOff>
    </xdr:to>
    <xdr:pic>
      <xdr:nvPicPr>
        <xdr:cNvPr id="3" name="Picture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3334" b="70270"/>
        <a:stretch>
          <a:fillRect/>
        </a:stretch>
      </xdr:blipFill>
      <xdr:spPr bwMode="auto">
        <a:xfrm>
          <a:off x="15242380" y="773907"/>
          <a:ext cx="247650" cy="232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509587</xdr:colOff>
      <xdr:row>2</xdr:row>
      <xdr:rowOff>206609</xdr:rowOff>
    </xdr:from>
    <xdr:to>
      <xdr:col>8</xdr:col>
      <xdr:colOff>768667</xdr:colOff>
      <xdr:row>4</xdr:row>
      <xdr:rowOff>2101</xdr:rowOff>
    </xdr:to>
    <xdr:pic>
      <xdr:nvPicPr>
        <xdr:cNvPr id="4" name="Picture 1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51" t="37192" r="16129" b="34914"/>
        <a:stretch>
          <a:fillRect/>
        </a:stretch>
      </xdr:blipFill>
      <xdr:spPr bwMode="auto">
        <a:xfrm>
          <a:off x="15263812" y="968609"/>
          <a:ext cx="257175" cy="233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497681</xdr:colOff>
      <xdr:row>3</xdr:row>
      <xdr:rowOff>161646</xdr:rowOff>
    </xdr:from>
    <xdr:to>
      <xdr:col>8</xdr:col>
      <xdr:colOff>739616</xdr:colOff>
      <xdr:row>4</xdr:row>
      <xdr:rowOff>183554</xdr:rowOff>
    </xdr:to>
    <xdr:pic>
      <xdr:nvPicPr>
        <xdr:cNvPr id="5" name="Picture 1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2" t="70908" r="25000" b="2"/>
        <a:stretch>
          <a:fillRect/>
        </a:stretch>
      </xdr:blipFill>
      <xdr:spPr bwMode="auto">
        <a:xfrm>
          <a:off x="15251906" y="1142721"/>
          <a:ext cx="238125" cy="242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154781</xdr:colOff>
      <xdr:row>0</xdr:row>
      <xdr:rowOff>83346</xdr:rowOff>
    </xdr:from>
    <xdr:to>
      <xdr:col>3</xdr:col>
      <xdr:colOff>540102</xdr:colOff>
      <xdr:row>2</xdr:row>
      <xdr:rowOff>20002</xdr:rowOff>
    </xdr:to>
    <xdr:pic>
      <xdr:nvPicPr>
        <xdr:cNvPr id="6" name="Picture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26" b="15493"/>
        <a:stretch/>
      </xdr:blipFill>
      <xdr:spPr>
        <a:xfrm>
          <a:off x="535781" y="83346"/>
          <a:ext cx="1988344" cy="7024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133350</xdr:rowOff>
    </xdr:from>
    <xdr:to>
      <xdr:col>22</xdr:col>
      <xdr:colOff>97135</xdr:colOff>
      <xdr:row>25</xdr:row>
      <xdr:rowOff>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1F75BB-C6C6-CA73-0440-17E2F26B5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275"/>
          <a:ext cx="13508335" cy="3810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38100</xdr:rowOff>
    </xdr:from>
    <xdr:to>
      <xdr:col>22</xdr:col>
      <xdr:colOff>104774</xdr:colOff>
      <xdr:row>47</xdr:row>
      <xdr:rowOff>76680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C63AA8-BB75-6C98-75FF-CFE431895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48150"/>
          <a:ext cx="13515974" cy="3439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26</xdr:col>
      <xdr:colOff>59370</xdr:colOff>
      <xdr:row>97</xdr:row>
      <xdr:rowOff>86844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ED636B-2C4A-94CC-A0B4-90C6D4C1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772400"/>
          <a:ext cx="15908970" cy="8021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400050</xdr:colOff>
      <xdr:row>1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FBA79A7-6EAA-F02E-86C4-1B9D198B9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768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538162</xdr:colOff>
      <xdr:row>13</xdr:row>
      <xdr:rowOff>104775</xdr:rowOff>
    </xdr:from>
    <xdr:to>
      <xdr:col>10</xdr:col>
      <xdr:colOff>147637</xdr:colOff>
      <xdr:row>30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902E92-83E3-01CE-66B4-E66652721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brielle Vieira - DSV" id="{EB0BFCE9-2316-443F-BB0E-DC72922DD4AD}" userId="S::gabrielle.vieira@dsv.com::ec6dcd78-deb5-4cc1-975d-fbb6f01bb9e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List124" displayName="List124" ref="P7:X696" totalsRowShown="0" headerRowDxfId="152" dataDxfId="150" headerRowBorderDxfId="151" tableBorderDxfId="149">
  <autoFilter ref="P7:X696" xr:uid="{00000000-0009-0000-0100-000003000000}"/>
  <tableColumns count="9">
    <tableColumn id="1" xr3:uid="{00000000-0010-0000-0000-000001000000}" name="Start week" dataDxfId="148">
      <calculatedColumnFormula>WEEKNUM(F8,2)-1</calculatedColumnFormula>
    </tableColumn>
    <tableColumn id="2" xr3:uid="{00000000-0010-0000-0000-000002000000}" name="Column1" dataDxfId="147">
      <calculatedColumnFormula>TEXT(P8,"00")</calculatedColumnFormula>
    </tableColumn>
    <tableColumn id="3" xr3:uid="{00000000-0010-0000-0000-000003000000}" name="End week" dataDxfId="146">
      <calculatedColumnFormula>WEEKNUM(G8,2)-1</calculatedColumnFormula>
    </tableColumn>
    <tableColumn id="4" xr3:uid="{00000000-0010-0000-0000-000004000000}" name="Column2" dataDxfId="145">
      <calculatedColumnFormula>TEXT(R8,"00")</calculatedColumnFormula>
    </tableColumn>
    <tableColumn id="5" xr3:uid="{00000000-0010-0000-0000-000005000000}" name="Start year" dataDxfId="144">
      <calculatedColumnFormula>YEAR(F8)</calculatedColumnFormula>
    </tableColumn>
    <tableColumn id="6" xr3:uid="{00000000-0010-0000-0000-000006000000}" name="End year" dataDxfId="143">
      <calculatedColumnFormula>YEAR(G8)</calculatedColumnFormula>
    </tableColumn>
    <tableColumn id="7" xr3:uid="{00000000-0010-0000-0000-000007000000}" name="Column3" dataDxfId="142"/>
    <tableColumn id="8" xr3:uid="{00000000-0010-0000-0000-000008000000}" name="Column4" dataDxfId="141">
      <calculatedColumnFormula>T8&amp;Q8</calculatedColumnFormula>
    </tableColumn>
    <tableColumn id="9" xr3:uid="{00000000-0010-0000-0000-000009000000}" name="Column5" dataDxfId="140">
      <calculatedColumnFormula>U8&amp;S8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8" dT="2026-03-26T11:41:38.00" personId="{EB0BFCE9-2316-443F-BB0E-DC72922DD4AD}" id="{E42A4017-F027-4814-AA42-70AD68261B4F}">
    <text>Preparação de todo o plano com datas, com definições junto ao cliente se ele concorda e etc : iniciada no kick off encerrada quando todos tiverem de acordo com datas em geral do projeto</text>
  </threadedComment>
  <threadedComment ref="D19" dT="2026-03-26T11:43:53.55" personId="{EB0BFCE9-2316-443F-BB0E-DC72922DD4AD}" id="{E6BEC7A6-AAEB-4B7B-8777-12690B87E0A8}">
    <text>Plano paralelo do caso isso não ocorra na data planejada. No inicio do projeto, mas durante o projeto também podem surgir pontos</text>
  </threadedComment>
  <threadedComment ref="E48" dT="2026-03-26T11:45:43.67" personId="{EB0BFCE9-2316-443F-BB0E-DC72922DD4AD}" id="{C74B3AE9-AAFB-4352-9399-1FD4F32B12BC}">
    <text>Operação monta SOP - implementação valida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B1:CE701"/>
  <sheetViews>
    <sheetView showGridLines="0" showZeros="0" tabSelected="1" zoomScaleNormal="100" workbookViewId="0">
      <pane ySplit="7" topLeftCell="A8" activePane="bottomLeft" state="frozen"/>
      <selection pane="bottomLeft" activeCell="B5" sqref="B5:D5"/>
    </sheetView>
  </sheetViews>
  <sheetFormatPr defaultColWidth="5.140625" defaultRowHeight="12.75" outlineLevelRow="1"/>
  <cols>
    <col min="1" max="1" width="5.7109375" style="22" customWidth="1"/>
    <col min="2" max="2" width="9.28515625" style="20" customWidth="1"/>
    <col min="3" max="3" width="14.7109375" style="21" customWidth="1"/>
    <col min="4" max="4" width="57.7109375" style="22" customWidth="1"/>
    <col min="5" max="5" width="45.42578125" style="22" bestFit="1" customWidth="1"/>
    <col min="6" max="6" width="13" style="57" customWidth="1"/>
    <col min="7" max="7" width="13.28515625" style="57" customWidth="1"/>
    <col min="8" max="8" width="12.85546875" style="79" bestFit="1" customWidth="1"/>
    <col min="9" max="9" width="13.140625" style="22" customWidth="1"/>
    <col min="10" max="10" width="82.85546875" style="33" customWidth="1"/>
    <col min="11" max="15" width="5.140625" style="22"/>
    <col min="16" max="25" width="0" style="22" hidden="1" customWidth="1"/>
    <col min="26" max="16384" width="5.140625" style="22"/>
  </cols>
  <sheetData>
    <row r="1" spans="2:83" ht="47.25" customHeight="1">
      <c r="E1" s="151" t="s">
        <v>0</v>
      </c>
      <c r="F1" s="151"/>
      <c r="G1" s="151"/>
      <c r="H1" s="151"/>
      <c r="I1" s="151"/>
      <c r="J1" s="80"/>
      <c r="K1" s="2"/>
    </row>
    <row r="3" spans="2:83" ht="17.25" customHeight="1">
      <c r="B3" s="85" t="s">
        <v>1</v>
      </c>
      <c r="C3" s="85"/>
      <c r="D3" s="23"/>
      <c r="E3" s="24" t="s">
        <v>2</v>
      </c>
      <c r="F3" s="25"/>
      <c r="G3" s="26">
        <f ca="1">TODAY()</f>
        <v>46127</v>
      </c>
      <c r="H3" s="27" t="s">
        <v>3</v>
      </c>
      <c r="I3" s="28"/>
    </row>
    <row r="4" spans="2:83" s="33" customFormat="1" ht="17.25" customHeight="1">
      <c r="B4" s="152" t="s">
        <v>4</v>
      </c>
      <c r="C4" s="152"/>
      <c r="D4" s="29">
        <f ca="1">G3</f>
        <v>46127</v>
      </c>
      <c r="E4" s="30"/>
      <c r="F4" s="30"/>
      <c r="G4" s="31"/>
      <c r="H4" s="1" t="s">
        <v>5</v>
      </c>
      <c r="I4" s="32"/>
      <c r="P4" s="33" t="s">
        <v>6</v>
      </c>
      <c r="Q4" s="22" t="s">
        <v>7</v>
      </c>
      <c r="R4" s="33" t="s">
        <v>8</v>
      </c>
      <c r="S4" s="33" t="s">
        <v>9</v>
      </c>
      <c r="T4" s="33" t="s">
        <v>10</v>
      </c>
      <c r="U4" s="33" t="s">
        <v>11</v>
      </c>
    </row>
    <row r="5" spans="2:83" s="33" customFormat="1" ht="15.75" customHeight="1">
      <c r="B5" s="153" t="s">
        <v>162</v>
      </c>
      <c r="C5" s="153"/>
      <c r="D5" s="154"/>
      <c r="E5" s="34"/>
      <c r="F5" s="35"/>
      <c r="G5" s="36"/>
      <c r="H5" s="37" t="s">
        <v>12</v>
      </c>
      <c r="I5" s="38"/>
      <c r="K5" s="39"/>
      <c r="O5" s="22"/>
    </row>
    <row r="6" spans="2:83" s="33" customFormat="1">
      <c r="B6" s="20"/>
      <c r="C6" s="21"/>
      <c r="D6" s="22"/>
      <c r="E6" s="39"/>
      <c r="F6" s="40"/>
      <c r="G6" s="40"/>
      <c r="H6" s="41"/>
      <c r="I6" s="42"/>
      <c r="J6" s="39"/>
      <c r="K6" s="39"/>
      <c r="BV6" s="43" t="s">
        <v>13</v>
      </c>
      <c r="BW6" s="43" t="s">
        <v>14</v>
      </c>
      <c r="BX6" s="43" t="s">
        <v>15</v>
      </c>
      <c r="BY6" s="43" t="s">
        <v>16</v>
      </c>
      <c r="BZ6" s="43" t="s">
        <v>17</v>
      </c>
      <c r="CA6" s="43" t="s">
        <v>13</v>
      </c>
      <c r="CB6" s="43" t="s">
        <v>14</v>
      </c>
      <c r="CC6" s="43" t="s">
        <v>15</v>
      </c>
      <c r="CD6" s="43" t="s">
        <v>16</v>
      </c>
      <c r="CE6" s="43" t="s">
        <v>17</v>
      </c>
    </row>
    <row r="7" spans="2:83" ht="41.25" customHeight="1">
      <c r="B7" s="3" t="s">
        <v>18</v>
      </c>
      <c r="C7" s="3" t="s">
        <v>19</v>
      </c>
      <c r="D7" s="7" t="s">
        <v>20</v>
      </c>
      <c r="E7" s="4" t="s">
        <v>21</v>
      </c>
      <c r="F7" s="5" t="s">
        <v>22</v>
      </c>
      <c r="G7" s="5" t="s">
        <v>23</v>
      </c>
      <c r="H7" s="6" t="s">
        <v>24</v>
      </c>
      <c r="I7" s="4" t="s">
        <v>25</v>
      </c>
      <c r="J7" s="8" t="s">
        <v>26</v>
      </c>
      <c r="K7" s="44"/>
      <c r="P7" s="45" t="s">
        <v>27</v>
      </c>
      <c r="Q7" s="45" t="s">
        <v>28</v>
      </c>
      <c r="R7" s="45" t="s">
        <v>29</v>
      </c>
      <c r="S7" s="45" t="s">
        <v>30</v>
      </c>
      <c r="T7" s="45" t="s">
        <v>31</v>
      </c>
      <c r="U7" s="45" t="s">
        <v>32</v>
      </c>
      <c r="V7" s="45" t="s">
        <v>33</v>
      </c>
      <c r="W7" s="45" t="s">
        <v>34</v>
      </c>
      <c r="X7" s="45" t="s">
        <v>35</v>
      </c>
      <c r="BL7" s="45" t="s">
        <v>27</v>
      </c>
      <c r="BM7" s="45" t="s">
        <v>28</v>
      </c>
      <c r="BN7" s="45" t="s">
        <v>29</v>
      </c>
      <c r="BO7" s="45" t="s">
        <v>30</v>
      </c>
      <c r="BP7" s="45" t="s">
        <v>31</v>
      </c>
      <c r="BQ7" s="45" t="s">
        <v>32</v>
      </c>
      <c r="BR7" s="45" t="s">
        <v>33</v>
      </c>
      <c r="BS7" s="45" t="s">
        <v>34</v>
      </c>
      <c r="BT7" s="45" t="s">
        <v>35</v>
      </c>
      <c r="BV7" s="46">
        <v>2018</v>
      </c>
      <c r="BW7" s="46">
        <v>2018</v>
      </c>
      <c r="BX7" s="46">
        <v>2018</v>
      </c>
      <c r="BY7" s="46">
        <v>2018</v>
      </c>
      <c r="BZ7" s="46">
        <v>2018</v>
      </c>
      <c r="CA7" s="46">
        <v>2018</v>
      </c>
      <c r="CB7" s="46">
        <v>2018</v>
      </c>
      <c r="CC7" s="46">
        <v>2018</v>
      </c>
      <c r="CD7" s="46">
        <v>2018</v>
      </c>
      <c r="CE7" s="46">
        <v>2018</v>
      </c>
    </row>
    <row r="8" spans="2:83">
      <c r="B8" s="47"/>
      <c r="C8" s="48"/>
      <c r="D8" s="49"/>
      <c r="E8" s="50"/>
      <c r="F8" s="51"/>
      <c r="G8" s="51"/>
      <c r="H8" s="52"/>
      <c r="I8" s="53"/>
      <c r="J8" s="81"/>
      <c r="K8" s="54"/>
      <c r="P8" s="22">
        <f t="shared" ref="P8:P21" si="0">WEEKNUM(F8,2)-1</f>
        <v>0</v>
      </c>
      <c r="Q8" s="22" t="str">
        <f>TEXT(P8,"00")</f>
        <v>00</v>
      </c>
      <c r="R8" s="22">
        <f t="shared" ref="R8:R21" si="1">WEEKNUM(G8,2)-1</f>
        <v>0</v>
      </c>
      <c r="S8" s="22" t="str">
        <f>TEXT(R8,"00")</f>
        <v>00</v>
      </c>
      <c r="T8" s="22">
        <f t="shared" ref="T8:U21" si="2">YEAR(F8)</f>
        <v>1900</v>
      </c>
      <c r="U8" s="22">
        <f t="shared" si="2"/>
        <v>1900</v>
      </c>
      <c r="W8" s="22" t="str">
        <f>T8&amp;Q8</f>
        <v>190000</v>
      </c>
      <c r="X8" s="22" t="str">
        <f>U8&amp;S8</f>
        <v>190000</v>
      </c>
    </row>
    <row r="9" spans="2:83">
      <c r="B9" s="55">
        <v>1</v>
      </c>
      <c r="C9" s="48"/>
      <c r="D9" s="56" t="s">
        <v>36</v>
      </c>
      <c r="E9" s="11" t="s">
        <v>37</v>
      </c>
      <c r="F9" s="93">
        <v>46105</v>
      </c>
      <c r="G9" s="93">
        <f>F9+60</f>
        <v>46165</v>
      </c>
      <c r="H9" s="13">
        <f ca="1">IF(I9="Finished","",G9-$G$3)</f>
        <v>38</v>
      </c>
      <c r="I9" s="11" t="s">
        <v>10</v>
      </c>
      <c r="J9" s="76"/>
      <c r="K9" s="54"/>
      <c r="P9" s="57">
        <f t="shared" si="0"/>
        <v>12</v>
      </c>
      <c r="Q9" s="22" t="str">
        <f t="shared" ref="Q9:Q70" si="3">TEXT(P9,"00")</f>
        <v>12</v>
      </c>
      <c r="R9" s="22">
        <f t="shared" si="1"/>
        <v>20</v>
      </c>
      <c r="S9" s="22" t="str">
        <f t="shared" ref="S9:S70" si="4">TEXT(R9,"00")</f>
        <v>20</v>
      </c>
      <c r="T9" s="22">
        <f t="shared" si="2"/>
        <v>2026</v>
      </c>
      <c r="U9" s="22">
        <f t="shared" si="2"/>
        <v>2026</v>
      </c>
      <c r="W9" s="22" t="str">
        <f t="shared" ref="W9:W70" si="5">T9&amp;Q9</f>
        <v>202612</v>
      </c>
      <c r="X9" s="22" t="str">
        <f t="shared" ref="X9:X70" si="6">U9&amp;S9</f>
        <v>202620</v>
      </c>
    </row>
    <row r="10" spans="2:83">
      <c r="B10" s="47"/>
      <c r="C10" s="48"/>
      <c r="D10" s="49"/>
      <c r="E10" s="50"/>
      <c r="F10" s="51"/>
      <c r="G10" s="51"/>
      <c r="H10" s="52"/>
      <c r="I10" s="53"/>
      <c r="J10" s="81"/>
      <c r="K10" s="54"/>
      <c r="P10" s="57">
        <f t="shared" si="0"/>
        <v>0</v>
      </c>
      <c r="Q10" s="22" t="str">
        <f t="shared" si="3"/>
        <v>00</v>
      </c>
      <c r="R10" s="22">
        <f t="shared" si="1"/>
        <v>0</v>
      </c>
      <c r="S10" s="22" t="str">
        <f t="shared" si="4"/>
        <v>00</v>
      </c>
      <c r="T10" s="22">
        <f t="shared" si="2"/>
        <v>1900</v>
      </c>
      <c r="U10" s="22">
        <f t="shared" si="2"/>
        <v>1900</v>
      </c>
      <c r="W10" s="22" t="str">
        <f t="shared" si="5"/>
        <v>190000</v>
      </c>
      <c r="X10" s="22" t="str">
        <f t="shared" si="6"/>
        <v>190000</v>
      </c>
    </row>
    <row r="11" spans="2:83">
      <c r="B11" s="58">
        <v>100</v>
      </c>
      <c r="C11" s="59"/>
      <c r="D11" s="60" t="s">
        <v>38</v>
      </c>
      <c r="E11" s="61"/>
      <c r="F11" s="62">
        <f>MIN(F12:F14)</f>
        <v>46105</v>
      </c>
      <c r="G11" s="62">
        <f>MAX(G12:G14)</f>
        <v>46165</v>
      </c>
      <c r="H11" s="63">
        <f ca="1">IF(I11="Finished","",G11-$G$3)</f>
        <v>38</v>
      </c>
      <c r="I11" s="62" t="s">
        <v>6</v>
      </c>
      <c r="J11" s="82"/>
      <c r="K11" s="54"/>
      <c r="P11" s="22">
        <f t="shared" si="0"/>
        <v>12</v>
      </c>
      <c r="Q11" s="22" t="str">
        <f t="shared" si="3"/>
        <v>12</v>
      </c>
      <c r="R11" s="22">
        <f t="shared" si="1"/>
        <v>20</v>
      </c>
      <c r="S11" s="22" t="str">
        <f t="shared" si="4"/>
        <v>20</v>
      </c>
      <c r="T11" s="22">
        <f t="shared" si="2"/>
        <v>2026</v>
      </c>
      <c r="U11" s="22">
        <f t="shared" si="2"/>
        <v>2026</v>
      </c>
      <c r="W11" s="22" t="str">
        <f t="shared" si="5"/>
        <v>202612</v>
      </c>
      <c r="X11" s="22" t="str">
        <f t="shared" si="6"/>
        <v>202620</v>
      </c>
    </row>
    <row r="12" spans="2:83" outlineLevel="1">
      <c r="B12" s="15">
        <f>IF(C12&lt;&gt;"","",MAX($B$11:B11)+1)</f>
        <v>101</v>
      </c>
      <c r="C12" s="64"/>
      <c r="D12" s="56" t="s">
        <v>39</v>
      </c>
      <c r="E12" s="11" t="s">
        <v>37</v>
      </c>
      <c r="F12" s="93">
        <v>46105</v>
      </c>
      <c r="G12" s="93">
        <f t="shared" ref="G12:G13" si="7">F12+60</f>
        <v>46165</v>
      </c>
      <c r="H12" s="13">
        <f ca="1">IF(I12="Finished","",G12-$G$3)</f>
        <v>38</v>
      </c>
      <c r="I12" s="11" t="s">
        <v>6</v>
      </c>
      <c r="J12" s="76"/>
      <c r="K12" s="54"/>
      <c r="P12" s="22">
        <f t="shared" si="0"/>
        <v>12</v>
      </c>
      <c r="Q12" s="22" t="str">
        <f t="shared" si="3"/>
        <v>12</v>
      </c>
      <c r="R12" s="22">
        <f t="shared" si="1"/>
        <v>20</v>
      </c>
      <c r="S12" s="22" t="str">
        <f t="shared" si="4"/>
        <v>20</v>
      </c>
      <c r="T12" s="22">
        <f t="shared" si="2"/>
        <v>2026</v>
      </c>
      <c r="U12" s="22">
        <f t="shared" si="2"/>
        <v>2026</v>
      </c>
      <c r="W12" s="22" t="str">
        <f t="shared" si="5"/>
        <v>202612</v>
      </c>
      <c r="X12" s="22" t="str">
        <f t="shared" si="6"/>
        <v>202620</v>
      </c>
    </row>
    <row r="13" spans="2:83" outlineLevel="1">
      <c r="B13" s="15">
        <f>IF(C13&lt;&gt;"","",MAX($B$11:B12)+1)</f>
        <v>102</v>
      </c>
      <c r="C13" s="64"/>
      <c r="D13" s="56" t="s">
        <v>40</v>
      </c>
      <c r="E13" s="11" t="s">
        <v>37</v>
      </c>
      <c r="F13" s="93">
        <v>46105</v>
      </c>
      <c r="G13" s="93">
        <f t="shared" si="7"/>
        <v>46165</v>
      </c>
      <c r="H13" s="13">
        <f t="shared" ref="H13" ca="1" si="8">IF(I13="Finished","",G13-$G$3)</f>
        <v>38</v>
      </c>
      <c r="I13" s="11" t="s">
        <v>6</v>
      </c>
      <c r="J13" s="94" t="s">
        <v>149</v>
      </c>
      <c r="K13" s="54"/>
      <c r="P13" s="22">
        <f t="shared" si="0"/>
        <v>12</v>
      </c>
      <c r="Q13" s="22" t="str">
        <f t="shared" si="3"/>
        <v>12</v>
      </c>
      <c r="R13" s="22">
        <f t="shared" si="1"/>
        <v>20</v>
      </c>
      <c r="S13" s="22" t="str">
        <f t="shared" si="4"/>
        <v>20</v>
      </c>
      <c r="T13" s="22">
        <f t="shared" si="2"/>
        <v>2026</v>
      </c>
      <c r="U13" s="22">
        <f t="shared" si="2"/>
        <v>2026</v>
      </c>
      <c r="W13" s="22" t="str">
        <f t="shared" si="5"/>
        <v>202612</v>
      </c>
      <c r="X13" s="22" t="str">
        <f t="shared" si="6"/>
        <v>202620</v>
      </c>
    </row>
    <row r="14" spans="2:83" outlineLevel="1">
      <c r="B14" s="15"/>
      <c r="C14" s="64"/>
      <c r="D14" s="56"/>
      <c r="E14" s="11"/>
      <c r="F14" s="65"/>
      <c r="G14" s="65"/>
      <c r="H14" s="66"/>
      <c r="I14" s="67"/>
      <c r="J14" s="71"/>
      <c r="K14" s="54"/>
      <c r="P14" s="57">
        <f t="shared" si="0"/>
        <v>0</v>
      </c>
      <c r="Q14" s="22" t="str">
        <f t="shared" si="3"/>
        <v>00</v>
      </c>
      <c r="R14" s="22">
        <f t="shared" si="1"/>
        <v>0</v>
      </c>
      <c r="S14" s="22" t="str">
        <f t="shared" si="4"/>
        <v>00</v>
      </c>
      <c r="T14" s="22">
        <f t="shared" si="2"/>
        <v>1900</v>
      </c>
      <c r="U14" s="22">
        <f t="shared" si="2"/>
        <v>1900</v>
      </c>
      <c r="W14" s="22" t="str">
        <f t="shared" si="5"/>
        <v>190000</v>
      </c>
      <c r="X14" s="22" t="str">
        <f t="shared" si="6"/>
        <v>190000</v>
      </c>
    </row>
    <row r="15" spans="2:83" s="69" customFormat="1">
      <c r="B15" s="99">
        <v>200</v>
      </c>
      <c r="C15" s="100"/>
      <c r="D15" s="101" t="s">
        <v>41</v>
      </c>
      <c r="E15" s="61"/>
      <c r="F15" s="62">
        <f>MIN(F16:F21)</f>
        <v>46105</v>
      </c>
      <c r="G15" s="62">
        <f>MAX(G16:G21)</f>
        <v>46165</v>
      </c>
      <c r="H15" s="63">
        <f ca="1">IF(I15="Finished","",G15-$G$3)</f>
        <v>38</v>
      </c>
      <c r="I15" s="62" t="s">
        <v>6</v>
      </c>
      <c r="J15" s="82"/>
      <c r="K15" s="68"/>
      <c r="P15" s="22">
        <f t="shared" si="0"/>
        <v>12</v>
      </c>
      <c r="Q15" s="22" t="str">
        <f t="shared" si="3"/>
        <v>12</v>
      </c>
      <c r="R15" s="22">
        <f t="shared" si="1"/>
        <v>20</v>
      </c>
      <c r="S15" s="22" t="str">
        <f t="shared" si="4"/>
        <v>20</v>
      </c>
      <c r="T15" s="22">
        <f t="shared" si="2"/>
        <v>2026</v>
      </c>
      <c r="U15" s="22">
        <f t="shared" si="2"/>
        <v>2026</v>
      </c>
      <c r="V15" s="22"/>
      <c r="W15" s="22" t="str">
        <f t="shared" si="5"/>
        <v>202612</v>
      </c>
      <c r="X15" s="22" t="str">
        <f t="shared" si="6"/>
        <v>202620</v>
      </c>
    </row>
    <row r="16" spans="2:83" s="69" customFormat="1" outlineLevel="1">
      <c r="B16" s="102">
        <f>IF(C16&lt;&gt;"","",MAX($B$15:B15)+1)</f>
        <v>201</v>
      </c>
      <c r="C16" s="100"/>
      <c r="D16" s="103" t="s">
        <v>42</v>
      </c>
      <c r="E16" s="11" t="s">
        <v>43</v>
      </c>
      <c r="F16" s="93">
        <v>46105</v>
      </c>
      <c r="G16" s="93">
        <f t="shared" ref="G16" si="9">F16+60</f>
        <v>46165</v>
      </c>
      <c r="H16" s="13" t="str">
        <f>IF(I16="Finished","",G16-$G$3)</f>
        <v/>
      </c>
      <c r="I16" s="11" t="s">
        <v>7</v>
      </c>
      <c r="J16" s="76"/>
      <c r="K16" s="68"/>
      <c r="P16" s="22">
        <f t="shared" si="0"/>
        <v>12</v>
      </c>
      <c r="Q16" s="22" t="str">
        <f t="shared" si="3"/>
        <v>12</v>
      </c>
      <c r="R16" s="22">
        <f t="shared" si="1"/>
        <v>20</v>
      </c>
      <c r="S16" s="22" t="str">
        <f t="shared" si="4"/>
        <v>20</v>
      </c>
      <c r="T16" s="22">
        <f t="shared" si="2"/>
        <v>2026</v>
      </c>
      <c r="U16" s="22">
        <f t="shared" si="2"/>
        <v>2026</v>
      </c>
      <c r="V16" s="22"/>
      <c r="W16" s="22" t="str">
        <f t="shared" si="5"/>
        <v>202612</v>
      </c>
      <c r="X16" s="22" t="str">
        <f t="shared" si="6"/>
        <v>202620</v>
      </c>
    </row>
    <row r="17" spans="2:24" s="69" customFormat="1" outlineLevel="1">
      <c r="B17" s="102">
        <f>IF(C17&lt;&gt;"","",MAX($B$15:B16)+1)</f>
        <v>202</v>
      </c>
      <c r="C17" s="100"/>
      <c r="D17" s="103" t="s">
        <v>44</v>
      </c>
      <c r="E17" s="11" t="s">
        <v>37</v>
      </c>
      <c r="F17" s="93">
        <v>46105</v>
      </c>
      <c r="G17" s="93">
        <f t="shared" ref="G17:G21" si="10">F17+60</f>
        <v>46165</v>
      </c>
      <c r="H17" s="13">
        <f t="shared" ref="H17:H21" ca="1" si="11">IF(I17="Finished","",G17-$G$3)</f>
        <v>38</v>
      </c>
      <c r="I17" s="11" t="s">
        <v>6</v>
      </c>
      <c r="J17" s="76"/>
      <c r="K17" s="68"/>
      <c r="P17" s="57">
        <f t="shared" si="0"/>
        <v>12</v>
      </c>
      <c r="Q17" s="22" t="str">
        <f>TEXT(P17,"00")</f>
        <v>12</v>
      </c>
      <c r="R17" s="57">
        <f t="shared" si="1"/>
        <v>20</v>
      </c>
      <c r="S17" s="22" t="str">
        <f>TEXT(R17,"00")</f>
        <v>20</v>
      </c>
      <c r="T17" s="22">
        <f t="shared" si="2"/>
        <v>2026</v>
      </c>
      <c r="U17" s="22">
        <f t="shared" si="2"/>
        <v>2026</v>
      </c>
      <c r="V17" s="22"/>
      <c r="W17" s="22" t="str">
        <f>T17&amp;Q17</f>
        <v>202612</v>
      </c>
      <c r="X17" s="22" t="str">
        <f>U17&amp;S17</f>
        <v>202620</v>
      </c>
    </row>
    <row r="18" spans="2:24" s="69" customFormat="1" ht="25.5" outlineLevel="1">
      <c r="B18" s="102" t="str">
        <f>IF(C18&lt;&gt;"","",MAX($B$15:B17)+1)</f>
        <v/>
      </c>
      <c r="C18" s="104" t="s">
        <v>45</v>
      </c>
      <c r="D18" s="105" t="s">
        <v>46</v>
      </c>
      <c r="E18" s="11" t="s">
        <v>37</v>
      </c>
      <c r="F18" s="93">
        <v>46105</v>
      </c>
      <c r="G18" s="93">
        <f t="shared" si="10"/>
        <v>46165</v>
      </c>
      <c r="H18" s="17">
        <f t="shared" ca="1" si="11"/>
        <v>38</v>
      </c>
      <c r="I18" s="11" t="s">
        <v>6</v>
      </c>
      <c r="J18" s="94" t="s">
        <v>150</v>
      </c>
      <c r="K18" s="68"/>
      <c r="P18" s="57">
        <f t="shared" si="0"/>
        <v>12</v>
      </c>
      <c r="Q18" s="22" t="str">
        <f t="shared" ref="Q18" si="12">TEXT(P18,"00")</f>
        <v>12</v>
      </c>
      <c r="R18" s="57">
        <f t="shared" si="1"/>
        <v>20</v>
      </c>
      <c r="S18" s="22" t="str">
        <f t="shared" ref="S18" si="13">TEXT(R18,"00")</f>
        <v>20</v>
      </c>
      <c r="T18" s="22">
        <f t="shared" si="2"/>
        <v>2026</v>
      </c>
      <c r="U18" s="22">
        <f t="shared" si="2"/>
        <v>2026</v>
      </c>
      <c r="V18" s="22"/>
      <c r="W18" s="22" t="str">
        <f t="shared" ref="W18" si="14">T18&amp;Q18</f>
        <v>202612</v>
      </c>
      <c r="X18" s="22" t="str">
        <f t="shared" ref="X18" si="15">U18&amp;S18</f>
        <v>202620</v>
      </c>
    </row>
    <row r="19" spans="2:24" s="69" customFormat="1" outlineLevel="1">
      <c r="B19" s="102" t="str">
        <f>IF(C19&lt;&gt;"","",MAX($B$15:B18)+1)</f>
        <v/>
      </c>
      <c r="C19" s="104" t="s">
        <v>47</v>
      </c>
      <c r="D19" s="105" t="s">
        <v>48</v>
      </c>
      <c r="E19" s="11" t="s">
        <v>37</v>
      </c>
      <c r="F19" s="93">
        <v>46105</v>
      </c>
      <c r="G19" s="93">
        <f t="shared" si="10"/>
        <v>46165</v>
      </c>
      <c r="H19" s="17">
        <f t="shared" ca="1" si="11"/>
        <v>38</v>
      </c>
      <c r="I19" s="11" t="s">
        <v>6</v>
      </c>
      <c r="J19" s="76"/>
      <c r="K19" s="68"/>
      <c r="P19" s="57">
        <f t="shared" si="0"/>
        <v>12</v>
      </c>
      <c r="Q19" s="22" t="str">
        <f>TEXT(P19,"00")</f>
        <v>12</v>
      </c>
      <c r="R19" s="57">
        <f t="shared" si="1"/>
        <v>20</v>
      </c>
      <c r="S19" s="22" t="str">
        <f>TEXT(R19,"00")</f>
        <v>20</v>
      </c>
      <c r="T19" s="22">
        <f t="shared" si="2"/>
        <v>2026</v>
      </c>
      <c r="U19" s="22">
        <f t="shared" si="2"/>
        <v>2026</v>
      </c>
      <c r="V19" s="22"/>
      <c r="W19" s="22" t="str">
        <f>T19&amp;Q19</f>
        <v>202612</v>
      </c>
      <c r="X19" s="22" t="str">
        <f>U19&amp;S19</f>
        <v>202620</v>
      </c>
    </row>
    <row r="20" spans="2:24" s="69" customFormat="1" outlineLevel="1">
      <c r="B20" s="102">
        <f>IF(C20&lt;&gt;"","",MAX($B$15:B19)+1)</f>
        <v>203</v>
      </c>
      <c r="C20" s="100"/>
      <c r="D20" s="103" t="s">
        <v>49</v>
      </c>
      <c r="E20" s="11" t="s">
        <v>118</v>
      </c>
      <c r="F20" s="93">
        <v>46105</v>
      </c>
      <c r="G20" s="93">
        <f t="shared" si="10"/>
        <v>46165</v>
      </c>
      <c r="H20" s="13" t="str">
        <f t="shared" si="11"/>
        <v/>
      </c>
      <c r="I20" s="11" t="s">
        <v>7</v>
      </c>
      <c r="J20" s="76"/>
      <c r="K20" s="68"/>
      <c r="P20" s="22">
        <f t="shared" si="0"/>
        <v>12</v>
      </c>
      <c r="Q20" s="22" t="str">
        <f t="shared" si="3"/>
        <v>12</v>
      </c>
      <c r="R20" s="22">
        <f t="shared" si="1"/>
        <v>20</v>
      </c>
      <c r="S20" s="22" t="str">
        <f t="shared" si="4"/>
        <v>20</v>
      </c>
      <c r="T20" s="22">
        <f t="shared" si="2"/>
        <v>2026</v>
      </c>
      <c r="U20" s="22">
        <f t="shared" si="2"/>
        <v>2026</v>
      </c>
      <c r="V20" s="22"/>
      <c r="W20" s="22" t="str">
        <f t="shared" si="5"/>
        <v>202612</v>
      </c>
      <c r="X20" s="22" t="str">
        <f t="shared" si="6"/>
        <v>202620</v>
      </c>
    </row>
    <row r="21" spans="2:24" s="69" customFormat="1" outlineLevel="1">
      <c r="B21" s="102">
        <f>IF(C21&lt;&gt;"","",MAX($B$15:B20)+1)</f>
        <v>204</v>
      </c>
      <c r="C21" s="100"/>
      <c r="D21" s="103" t="s">
        <v>50</v>
      </c>
      <c r="E21" s="11" t="s">
        <v>118</v>
      </c>
      <c r="F21" s="93">
        <v>46105</v>
      </c>
      <c r="G21" s="93">
        <f t="shared" si="10"/>
        <v>46165</v>
      </c>
      <c r="H21" s="13" t="str">
        <f t="shared" si="11"/>
        <v/>
      </c>
      <c r="I21" s="11" t="s">
        <v>7</v>
      </c>
      <c r="J21" s="95" t="s">
        <v>151</v>
      </c>
      <c r="K21" s="68"/>
      <c r="P21" s="22">
        <f t="shared" si="0"/>
        <v>12</v>
      </c>
      <c r="Q21" s="22" t="str">
        <f t="shared" si="3"/>
        <v>12</v>
      </c>
      <c r="R21" s="22">
        <f t="shared" si="1"/>
        <v>20</v>
      </c>
      <c r="S21" s="22" t="str">
        <f t="shared" si="4"/>
        <v>20</v>
      </c>
      <c r="T21" s="22">
        <f t="shared" si="2"/>
        <v>2026</v>
      </c>
      <c r="U21" s="22">
        <f t="shared" si="2"/>
        <v>2026</v>
      </c>
      <c r="V21" s="22"/>
      <c r="W21" s="22" t="str">
        <f t="shared" si="5"/>
        <v>202612</v>
      </c>
      <c r="X21" s="22" t="str">
        <f t="shared" si="6"/>
        <v>202620</v>
      </c>
    </row>
    <row r="22" spans="2:24" outlineLevel="1">
      <c r="B22" s="15"/>
      <c r="C22" s="70"/>
      <c r="D22" s="14"/>
      <c r="E22" s="11"/>
      <c r="F22" s="12"/>
      <c r="G22" s="12"/>
      <c r="H22" s="13"/>
      <c r="I22" s="11"/>
      <c r="J22" s="14"/>
      <c r="K22" s="54"/>
      <c r="P22" s="57">
        <f>WEEKNUM(F22,2)-1</f>
        <v>0</v>
      </c>
      <c r="Q22" s="22" t="str">
        <f>TEXT(P22,"00")</f>
        <v>00</v>
      </c>
      <c r="R22" s="57">
        <f>WEEKNUM(G22,2)-1</f>
        <v>0</v>
      </c>
      <c r="S22" s="22" t="str">
        <f>TEXT(R22,"00")</f>
        <v>00</v>
      </c>
      <c r="T22" s="22">
        <f>YEAR(F22)</f>
        <v>1900</v>
      </c>
      <c r="U22" s="22">
        <f>YEAR(G22)</f>
        <v>1900</v>
      </c>
      <c r="W22" s="22" t="str">
        <f>T22&amp;Q22</f>
        <v>190000</v>
      </c>
      <c r="X22" s="22" t="str">
        <f>U22&amp;S22</f>
        <v>190000</v>
      </c>
    </row>
    <row r="23" spans="2:24" s="91" customFormat="1">
      <c r="B23" s="106">
        <v>300</v>
      </c>
      <c r="C23" s="107"/>
      <c r="D23" s="108" t="s">
        <v>52</v>
      </c>
      <c r="E23" s="61"/>
      <c r="F23" s="62">
        <f>MIN(F27:F32)</f>
        <v>46105</v>
      </c>
      <c r="G23" s="62">
        <f>MAX(G27:G32)</f>
        <v>46165</v>
      </c>
      <c r="H23" s="63">
        <f t="shared" ref="H23:H27" ca="1" si="16">IF(I23="Finished","",G23-$G$3)</f>
        <v>38</v>
      </c>
      <c r="I23" s="62" t="s">
        <v>10</v>
      </c>
      <c r="J23" s="89"/>
      <c r="K23" s="90"/>
      <c r="P23" s="92"/>
      <c r="R23" s="92"/>
    </row>
    <row r="24" spans="2:24">
      <c r="B24" s="109">
        <f>IF(C24&lt;&gt;"","",MAX($B$16:B23)+1)</f>
        <v>301</v>
      </c>
      <c r="C24" s="110"/>
      <c r="D24" s="111" t="s">
        <v>52</v>
      </c>
      <c r="E24" s="11" t="s">
        <v>43</v>
      </c>
      <c r="F24" s="93">
        <v>46105</v>
      </c>
      <c r="G24" s="93">
        <f t="shared" ref="G24:G27" si="17">F24+60</f>
        <v>46165</v>
      </c>
      <c r="H24" s="13">
        <f t="shared" ca="1" si="16"/>
        <v>38</v>
      </c>
      <c r="I24" s="11" t="s">
        <v>10</v>
      </c>
      <c r="J24" s="76"/>
      <c r="K24" s="54"/>
      <c r="P24" s="57">
        <f>WEEKNUM(F24,2)-1</f>
        <v>12</v>
      </c>
      <c r="Q24" s="22" t="str">
        <f t="shared" ref="Q24:Q25" si="18">TEXT(P24,"00")</f>
        <v>12</v>
      </c>
      <c r="R24" s="57">
        <f>WEEKNUM(G24,2)-1</f>
        <v>20</v>
      </c>
      <c r="S24" s="22" t="str">
        <f t="shared" ref="S24:S25" si="19">TEXT(R24,"00")</f>
        <v>20</v>
      </c>
      <c r="T24" s="22">
        <f t="shared" ref="T24:T26" si="20">YEAR(F24)</f>
        <v>2026</v>
      </c>
      <c r="U24" s="22">
        <f t="shared" ref="U24:U26" si="21">YEAR(G24)</f>
        <v>2026</v>
      </c>
      <c r="W24" s="22" t="str">
        <f t="shared" ref="W24:W25" si="22">T24&amp;Q24</f>
        <v>202612</v>
      </c>
      <c r="X24" s="22" t="str">
        <f t="shared" ref="X24:X25" si="23">U24&amp;S24</f>
        <v>202620</v>
      </c>
    </row>
    <row r="25" spans="2:24">
      <c r="B25" s="109" t="str">
        <f>IF(C25&lt;&gt;"","",MAX($B$16:B24)+1)</f>
        <v/>
      </c>
      <c r="C25" s="112" t="s">
        <v>53</v>
      </c>
      <c r="D25" s="113" t="s">
        <v>54</v>
      </c>
      <c r="E25" s="11" t="s">
        <v>43</v>
      </c>
      <c r="F25" s="93">
        <v>46105</v>
      </c>
      <c r="G25" s="93">
        <f t="shared" si="17"/>
        <v>46165</v>
      </c>
      <c r="H25" s="17">
        <f t="shared" ca="1" si="16"/>
        <v>38</v>
      </c>
      <c r="I25" s="11" t="s">
        <v>10</v>
      </c>
      <c r="J25" s="76"/>
      <c r="K25" s="54"/>
      <c r="P25" s="57">
        <f>WEEKNUM(F25,2)-1</f>
        <v>12</v>
      </c>
      <c r="Q25" s="22" t="str">
        <f t="shared" si="18"/>
        <v>12</v>
      </c>
      <c r="R25" s="57">
        <f>WEEKNUM(G25,2)-1</f>
        <v>20</v>
      </c>
      <c r="S25" s="22" t="str">
        <f t="shared" si="19"/>
        <v>20</v>
      </c>
      <c r="T25" s="22">
        <f t="shared" si="20"/>
        <v>2026</v>
      </c>
      <c r="U25" s="22">
        <f t="shared" si="21"/>
        <v>2026</v>
      </c>
      <c r="W25" s="22" t="str">
        <f t="shared" si="22"/>
        <v>202612</v>
      </c>
      <c r="X25" s="22" t="str">
        <f t="shared" si="23"/>
        <v>202620</v>
      </c>
    </row>
    <row r="26" spans="2:24">
      <c r="B26" s="109" t="str">
        <f>IF(C26&lt;&gt;"","",MAX($B$16:B25)+1)</f>
        <v/>
      </c>
      <c r="C26" s="112" t="s">
        <v>55</v>
      </c>
      <c r="D26" s="113" t="s">
        <v>56</v>
      </c>
      <c r="E26" s="11" t="s">
        <v>43</v>
      </c>
      <c r="F26" s="93">
        <v>46105</v>
      </c>
      <c r="G26" s="93">
        <f t="shared" si="17"/>
        <v>46165</v>
      </c>
      <c r="H26" s="17">
        <f t="shared" ca="1" si="16"/>
        <v>38</v>
      </c>
      <c r="I26" s="11" t="s">
        <v>10</v>
      </c>
      <c r="J26" s="76"/>
      <c r="K26" s="54"/>
      <c r="P26" s="57">
        <f>WEEKNUM(F26,2)-1</f>
        <v>12</v>
      </c>
      <c r="Q26" s="22" t="str">
        <f>TEXT(P26,"00")</f>
        <v>12</v>
      </c>
      <c r="R26" s="57">
        <f>WEEKNUM(G26,2)-1</f>
        <v>20</v>
      </c>
      <c r="S26" s="22" t="str">
        <f>TEXT(R26,"00")</f>
        <v>20</v>
      </c>
      <c r="T26" s="22">
        <f t="shared" si="20"/>
        <v>2026</v>
      </c>
      <c r="U26" s="22">
        <f t="shared" si="21"/>
        <v>2026</v>
      </c>
      <c r="W26" s="22" t="str">
        <f>T26&amp;Q26</f>
        <v>202612</v>
      </c>
      <c r="X26" s="22" t="str">
        <f>U26&amp;S26</f>
        <v>202620</v>
      </c>
    </row>
    <row r="27" spans="2:24">
      <c r="B27" s="109" t="str">
        <f>IF(C27&lt;&gt;"","",MAX($B$16:B26)+1)</f>
        <v/>
      </c>
      <c r="C27" s="112" t="s">
        <v>57</v>
      </c>
      <c r="D27" s="113" t="s">
        <v>58</v>
      </c>
      <c r="E27" s="11" t="s">
        <v>43</v>
      </c>
      <c r="F27" s="93">
        <v>46105</v>
      </c>
      <c r="G27" s="93">
        <f t="shared" si="17"/>
        <v>46165</v>
      </c>
      <c r="H27" s="17">
        <f t="shared" ca="1" si="16"/>
        <v>38</v>
      </c>
      <c r="I27" s="11" t="s">
        <v>10</v>
      </c>
      <c r="J27" s="76"/>
      <c r="K27" s="54"/>
      <c r="P27" s="57">
        <f>WEEKNUM(F27,2)-1</f>
        <v>12</v>
      </c>
      <c r="Q27" s="22" t="str">
        <f>TEXT(P27,"00")</f>
        <v>12</v>
      </c>
      <c r="R27" s="57">
        <f>WEEKNUM(G27,2)-1</f>
        <v>20</v>
      </c>
      <c r="S27" s="22" t="str">
        <f>TEXT(R27,"00")</f>
        <v>20</v>
      </c>
      <c r="T27" s="22">
        <f>YEAR(F27)</f>
        <v>2026</v>
      </c>
      <c r="U27" s="22">
        <f>YEAR(G27)</f>
        <v>2026</v>
      </c>
      <c r="W27" s="22" t="str">
        <f>T27&amp;Q27</f>
        <v>202612</v>
      </c>
      <c r="X27" s="22" t="str">
        <f>U27&amp;S27</f>
        <v>202620</v>
      </c>
    </row>
    <row r="28" spans="2:24" outlineLevel="1">
      <c r="B28" s="15"/>
      <c r="C28" s="70"/>
      <c r="D28" s="56"/>
      <c r="E28" s="11"/>
      <c r="F28" s="12"/>
      <c r="G28" s="12"/>
      <c r="H28" s="13"/>
      <c r="I28" s="11"/>
      <c r="J28" s="14"/>
      <c r="K28" s="54"/>
    </row>
    <row r="29" spans="2:24">
      <c r="B29" s="114">
        <v>400</v>
      </c>
      <c r="C29" s="115"/>
      <c r="D29" s="116" t="s">
        <v>51</v>
      </c>
      <c r="E29" s="61"/>
      <c r="F29" s="62">
        <f>MIN(F30:F35)</f>
        <v>46105</v>
      </c>
      <c r="G29" s="62">
        <f>MAX(G30:G35)</f>
        <v>46165</v>
      </c>
      <c r="H29" s="63">
        <f t="shared" ref="H29:H31" ca="1" si="24">IF(I29="Finished","",G29-$G$3)</f>
        <v>38</v>
      </c>
      <c r="I29" s="62" t="s">
        <v>6</v>
      </c>
      <c r="J29" s="82"/>
      <c r="K29" s="54"/>
      <c r="P29" s="57"/>
      <c r="R29" s="57"/>
    </row>
    <row r="30" spans="2:24">
      <c r="B30" s="117">
        <f>IF(C30&lt;&gt;"","",MAX($B$16:B29)+1)</f>
        <v>401</v>
      </c>
      <c r="C30" s="115"/>
      <c r="D30" s="118" t="s">
        <v>59</v>
      </c>
      <c r="E30" s="11" t="s">
        <v>123</v>
      </c>
      <c r="F30" s="93">
        <v>46105</v>
      </c>
      <c r="G30" s="93">
        <f t="shared" ref="G30:G44" si="25">F30+60</f>
        <v>46165</v>
      </c>
      <c r="H30" s="13">
        <f t="shared" ca="1" si="24"/>
        <v>38</v>
      </c>
      <c r="I30" s="11" t="s">
        <v>10</v>
      </c>
      <c r="J30" s="76"/>
      <c r="K30" s="54"/>
      <c r="P30" s="57" t="e">
        <f>WEEKNUM(#REF!,2)-1</f>
        <v>#REF!</v>
      </c>
      <c r="Q30" s="22" t="e">
        <f t="shared" ref="Q30:Q34" si="26">TEXT(P30,"00")</f>
        <v>#REF!</v>
      </c>
      <c r="R30" s="57" t="e">
        <f>WEEKNUM(#REF!,2)-1</f>
        <v>#REF!</v>
      </c>
      <c r="S30" s="22" t="e">
        <f t="shared" ref="S30:S34" si="27">TEXT(R30,"00")</f>
        <v>#REF!</v>
      </c>
      <c r="T30" s="22" t="e">
        <f>YEAR(#REF!)</f>
        <v>#REF!</v>
      </c>
      <c r="U30" s="22" t="e">
        <f>YEAR(#REF!)</f>
        <v>#REF!</v>
      </c>
      <c r="W30" s="22" t="e">
        <f t="shared" ref="W30:W34" si="28">T30&amp;Q30</f>
        <v>#REF!</v>
      </c>
      <c r="X30" s="22" t="e">
        <f t="shared" ref="X30:X34" si="29">U30&amp;S30</f>
        <v>#REF!</v>
      </c>
    </row>
    <row r="31" spans="2:24">
      <c r="B31" s="117" t="str">
        <f>IF(C31&lt;&gt;"","",MAX($B$16:B30)+1)</f>
        <v/>
      </c>
      <c r="C31" s="119" t="s">
        <v>72</v>
      </c>
      <c r="D31" s="120" t="s">
        <v>60</v>
      </c>
      <c r="E31" s="11" t="s">
        <v>123</v>
      </c>
      <c r="F31" s="93">
        <v>46105</v>
      </c>
      <c r="G31" s="93">
        <f t="shared" si="25"/>
        <v>46165</v>
      </c>
      <c r="H31" s="17">
        <f t="shared" ca="1" si="24"/>
        <v>38</v>
      </c>
      <c r="I31" s="11" t="s">
        <v>6</v>
      </c>
      <c r="J31" s="76"/>
      <c r="K31" s="54"/>
      <c r="P31" s="57" t="e">
        <f>WEEKNUM(#REF!,2)-1</f>
        <v>#REF!</v>
      </c>
      <c r="Q31" s="22" t="e">
        <f t="shared" si="26"/>
        <v>#REF!</v>
      </c>
      <c r="R31" s="57" t="e">
        <f>WEEKNUM(#REF!,2)-1</f>
        <v>#REF!</v>
      </c>
      <c r="S31" s="22" t="e">
        <f t="shared" si="27"/>
        <v>#REF!</v>
      </c>
      <c r="T31" s="22" t="e">
        <f>YEAR(#REF!)</f>
        <v>#REF!</v>
      </c>
      <c r="U31" s="22" t="e">
        <f>YEAR(#REF!)</f>
        <v>#REF!</v>
      </c>
      <c r="W31" s="22" t="e">
        <f t="shared" si="28"/>
        <v>#REF!</v>
      </c>
      <c r="X31" s="22" t="e">
        <f t="shared" si="29"/>
        <v>#REF!</v>
      </c>
    </row>
    <row r="32" spans="2:24">
      <c r="B32" s="117">
        <f>IF(C32&lt;&gt;"","",MAX($B$16:B31)+1)</f>
        <v>402</v>
      </c>
      <c r="C32" s="115"/>
      <c r="D32" s="121" t="s">
        <v>61</v>
      </c>
      <c r="E32" s="11" t="s">
        <v>37</v>
      </c>
      <c r="F32" s="93">
        <v>46105</v>
      </c>
      <c r="G32" s="93">
        <f t="shared" si="25"/>
        <v>46165</v>
      </c>
      <c r="H32" s="13">
        <f ca="1">IF(I32="Finished","",G32-$G$3)</f>
        <v>38</v>
      </c>
      <c r="I32" s="11" t="s">
        <v>10</v>
      </c>
      <c r="J32" s="76"/>
      <c r="K32" s="54"/>
      <c r="P32" s="57">
        <f>WEEKNUM(F32,2)-1</f>
        <v>12</v>
      </c>
      <c r="Q32" s="22" t="str">
        <f t="shared" si="26"/>
        <v>12</v>
      </c>
      <c r="R32" s="57">
        <f>WEEKNUM(G32,2)-1</f>
        <v>20</v>
      </c>
      <c r="S32" s="22" t="str">
        <f t="shared" si="27"/>
        <v>20</v>
      </c>
      <c r="T32" s="22">
        <f>YEAR(F32)</f>
        <v>2026</v>
      </c>
      <c r="U32" s="22">
        <f>YEAR(G32)</f>
        <v>2026</v>
      </c>
      <c r="W32" s="22" t="str">
        <f t="shared" si="28"/>
        <v>202612</v>
      </c>
      <c r="X32" s="22" t="str">
        <f t="shared" si="29"/>
        <v>202620</v>
      </c>
    </row>
    <row r="33" spans="2:24" ht="38.25">
      <c r="B33" s="117" t="str">
        <f>IF(C33&lt;&gt;"","",MAX($B$16:B32)+1)</f>
        <v/>
      </c>
      <c r="C33" s="119" t="s">
        <v>74</v>
      </c>
      <c r="D33" s="122" t="s">
        <v>62</v>
      </c>
      <c r="E33" s="11" t="s">
        <v>37</v>
      </c>
      <c r="F33" s="93">
        <v>46105</v>
      </c>
      <c r="G33" s="93">
        <f t="shared" si="25"/>
        <v>46165</v>
      </c>
      <c r="H33" s="17" t="str">
        <f t="shared" ref="H33:H34" si="30">IF(I33="Finished","",G33-$G$3)</f>
        <v/>
      </c>
      <c r="I33" s="11" t="s">
        <v>7</v>
      </c>
      <c r="J33" s="96" t="s">
        <v>154</v>
      </c>
      <c r="K33" s="54"/>
      <c r="P33" s="57">
        <f t="shared" ref="P33:P34" si="31">WEEKNUM(F33,2)-1</f>
        <v>12</v>
      </c>
      <c r="Q33" s="22" t="str">
        <f t="shared" si="26"/>
        <v>12</v>
      </c>
      <c r="R33" s="57">
        <f t="shared" ref="R33:R34" si="32">WEEKNUM(G33,2)-1</f>
        <v>20</v>
      </c>
      <c r="S33" s="22" t="str">
        <f t="shared" si="27"/>
        <v>20</v>
      </c>
      <c r="T33" s="22">
        <f t="shared" ref="T33:U34" si="33">YEAR(F33)</f>
        <v>2026</v>
      </c>
      <c r="U33" s="22">
        <f t="shared" si="33"/>
        <v>2026</v>
      </c>
      <c r="W33" s="22" t="str">
        <f t="shared" si="28"/>
        <v>202612</v>
      </c>
      <c r="X33" s="22" t="str">
        <f t="shared" si="29"/>
        <v>202620</v>
      </c>
    </row>
    <row r="34" spans="2:24">
      <c r="B34" s="117" t="str">
        <f>IF(C34&lt;&gt;"","",MAX($B$16:B33)+1)</f>
        <v/>
      </c>
      <c r="C34" s="119" t="s">
        <v>76</v>
      </c>
      <c r="D34" s="122" t="s">
        <v>63</v>
      </c>
      <c r="E34" s="11" t="s">
        <v>37</v>
      </c>
      <c r="F34" s="93">
        <v>46105</v>
      </c>
      <c r="G34" s="93">
        <f t="shared" si="25"/>
        <v>46165</v>
      </c>
      <c r="H34" s="17">
        <f t="shared" ca="1" si="30"/>
        <v>38</v>
      </c>
      <c r="I34" s="11" t="s">
        <v>6</v>
      </c>
      <c r="J34" s="97" t="s">
        <v>155</v>
      </c>
      <c r="K34" s="54"/>
      <c r="P34" s="57">
        <f t="shared" si="31"/>
        <v>12</v>
      </c>
      <c r="Q34" s="22" t="str">
        <f t="shared" si="26"/>
        <v>12</v>
      </c>
      <c r="R34" s="57">
        <f t="shared" si="32"/>
        <v>20</v>
      </c>
      <c r="S34" s="22" t="str">
        <f t="shared" si="27"/>
        <v>20</v>
      </c>
      <c r="T34" s="22">
        <f>YEAR(F34)</f>
        <v>2026</v>
      </c>
      <c r="U34" s="22">
        <f t="shared" si="33"/>
        <v>2026</v>
      </c>
      <c r="W34" s="22" t="str">
        <f t="shared" si="28"/>
        <v>202612</v>
      </c>
      <c r="X34" s="22" t="str">
        <f t="shared" si="29"/>
        <v>202620</v>
      </c>
    </row>
    <row r="35" spans="2:24">
      <c r="B35" s="117"/>
      <c r="C35" s="119" t="s">
        <v>78</v>
      </c>
      <c r="D35" s="122" t="s">
        <v>64</v>
      </c>
      <c r="E35" s="11" t="s">
        <v>37</v>
      </c>
      <c r="F35" s="93">
        <v>46105</v>
      </c>
      <c r="G35" s="93">
        <f t="shared" si="25"/>
        <v>46165</v>
      </c>
      <c r="H35" s="17">
        <f t="shared" ref="H35" ca="1" si="34">IF(I35="Finished","",G35-$G$3)</f>
        <v>38</v>
      </c>
      <c r="I35" s="11" t="s">
        <v>10</v>
      </c>
      <c r="J35" s="76"/>
      <c r="K35" s="54"/>
      <c r="P35" s="57">
        <f>WEEKNUM(F35,2)-1</f>
        <v>12</v>
      </c>
      <c r="Q35" s="22" t="str">
        <f>TEXT(P35,"00")</f>
        <v>12</v>
      </c>
      <c r="R35" s="57">
        <f>WEEKNUM(G35,2)-1</f>
        <v>20</v>
      </c>
      <c r="S35" s="22" t="str">
        <f>TEXT(R35,"00")</f>
        <v>20</v>
      </c>
      <c r="T35" s="22">
        <f>YEAR(F35)</f>
        <v>2026</v>
      </c>
      <c r="U35" s="22">
        <f>YEAR(G35)</f>
        <v>2026</v>
      </c>
      <c r="W35" s="22" t="str">
        <f>T35&amp;Q35</f>
        <v>202612</v>
      </c>
      <c r="X35" s="22" t="str">
        <f>U35&amp;S35</f>
        <v>202620</v>
      </c>
    </row>
    <row r="36" spans="2:24">
      <c r="B36" s="117">
        <f>IF(C36&lt;&gt;"","",MAX($B$16:B35)+1)</f>
        <v>403</v>
      </c>
      <c r="C36" s="115"/>
      <c r="D36" s="121" t="s">
        <v>69</v>
      </c>
      <c r="E36" s="11" t="s">
        <v>37</v>
      </c>
      <c r="F36" s="93">
        <v>46105</v>
      </c>
      <c r="G36" s="93">
        <f t="shared" si="25"/>
        <v>46165</v>
      </c>
      <c r="H36" s="13">
        <f ca="1">IF(I36="Finished","",G36-$G$3)</f>
        <v>38</v>
      </c>
      <c r="I36" s="11" t="s">
        <v>10</v>
      </c>
      <c r="J36" s="76"/>
      <c r="K36" s="54"/>
      <c r="P36" s="57">
        <f>WEEKNUM(F36,2)-1</f>
        <v>12</v>
      </c>
      <c r="Q36" s="22" t="str">
        <f t="shared" ref="Q36:Q38" si="35">TEXT(P36,"00")</f>
        <v>12</v>
      </c>
      <c r="R36" s="57">
        <f>WEEKNUM(G36,2)-1</f>
        <v>20</v>
      </c>
      <c r="S36" s="22" t="str">
        <f t="shared" ref="S36:S38" si="36">TEXT(R36,"00")</f>
        <v>20</v>
      </c>
      <c r="T36" s="22">
        <f>YEAR(F36)</f>
        <v>2026</v>
      </c>
      <c r="U36" s="22">
        <f>YEAR(G36)</f>
        <v>2026</v>
      </c>
      <c r="W36" s="22" t="str">
        <f t="shared" ref="W36:W38" si="37">T36&amp;Q36</f>
        <v>202612</v>
      </c>
      <c r="X36" s="22" t="str">
        <f t="shared" ref="X36:X38" si="38">U36&amp;S36</f>
        <v>202620</v>
      </c>
    </row>
    <row r="37" spans="2:24">
      <c r="B37" s="117" t="str">
        <f>IF(C37&lt;&gt;"","",MAX($B$16:B36)+1)</f>
        <v/>
      </c>
      <c r="C37" s="119" t="s">
        <v>88</v>
      </c>
      <c r="D37" s="122" t="s">
        <v>62</v>
      </c>
      <c r="E37" s="11" t="s">
        <v>37</v>
      </c>
      <c r="F37" s="93">
        <v>46105</v>
      </c>
      <c r="G37" s="93">
        <f t="shared" si="25"/>
        <v>46165</v>
      </c>
      <c r="H37" s="17" t="str">
        <f t="shared" ref="H37:H39" si="39">IF(I37="Finished","",G37-$G$3)</f>
        <v/>
      </c>
      <c r="I37" s="11" t="s">
        <v>7</v>
      </c>
      <c r="J37" s="96" t="s">
        <v>152</v>
      </c>
      <c r="K37" s="54"/>
      <c r="P37" s="57">
        <f t="shared" ref="P37:P38" si="40">WEEKNUM(F37,2)-1</f>
        <v>12</v>
      </c>
      <c r="Q37" s="22" t="str">
        <f t="shared" si="35"/>
        <v>12</v>
      </c>
      <c r="R37" s="57">
        <f t="shared" ref="R37:R38" si="41">WEEKNUM(G37,2)-1</f>
        <v>20</v>
      </c>
      <c r="S37" s="22" t="str">
        <f t="shared" si="36"/>
        <v>20</v>
      </c>
      <c r="T37" s="22">
        <f t="shared" ref="T37" si="42">YEAR(F37)</f>
        <v>2026</v>
      </c>
      <c r="U37" s="22">
        <f t="shared" ref="U37:U38" si="43">YEAR(G37)</f>
        <v>2026</v>
      </c>
      <c r="W37" s="22" t="str">
        <f t="shared" si="37"/>
        <v>202612</v>
      </c>
      <c r="X37" s="22" t="str">
        <f t="shared" si="38"/>
        <v>202620</v>
      </c>
    </row>
    <row r="38" spans="2:24" ht="38.25">
      <c r="B38" s="117" t="str">
        <f>IF(C38&lt;&gt;"","",MAX($B$16:B37)+1)</f>
        <v/>
      </c>
      <c r="C38" s="119" t="s">
        <v>90</v>
      </c>
      <c r="D38" s="122" t="s">
        <v>63</v>
      </c>
      <c r="E38" s="11" t="s">
        <v>37</v>
      </c>
      <c r="F38" s="93">
        <v>46105</v>
      </c>
      <c r="G38" s="93">
        <f t="shared" si="25"/>
        <v>46165</v>
      </c>
      <c r="H38" s="17">
        <f t="shared" ca="1" si="39"/>
        <v>38</v>
      </c>
      <c r="I38" s="11" t="s">
        <v>6</v>
      </c>
      <c r="J38" s="18" t="s">
        <v>153</v>
      </c>
      <c r="K38" s="54"/>
      <c r="P38" s="57">
        <f t="shared" si="40"/>
        <v>12</v>
      </c>
      <c r="Q38" s="22" t="str">
        <f t="shared" si="35"/>
        <v>12</v>
      </c>
      <c r="R38" s="57">
        <f t="shared" si="41"/>
        <v>20</v>
      </c>
      <c r="S38" s="22" t="str">
        <f t="shared" si="36"/>
        <v>20</v>
      </c>
      <c r="T38" s="22">
        <f>YEAR(F38)</f>
        <v>2026</v>
      </c>
      <c r="U38" s="22">
        <f t="shared" si="43"/>
        <v>2026</v>
      </c>
      <c r="W38" s="22" t="str">
        <f t="shared" si="37"/>
        <v>202612</v>
      </c>
      <c r="X38" s="22" t="str">
        <f t="shared" si="38"/>
        <v>202620</v>
      </c>
    </row>
    <row r="39" spans="2:24">
      <c r="B39" s="117"/>
      <c r="C39" s="119" t="s">
        <v>92</v>
      </c>
      <c r="D39" s="122" t="s">
        <v>64</v>
      </c>
      <c r="E39" s="11" t="s">
        <v>37</v>
      </c>
      <c r="F39" s="93">
        <v>46105</v>
      </c>
      <c r="G39" s="93">
        <f t="shared" si="25"/>
        <v>46165</v>
      </c>
      <c r="H39" s="17">
        <f t="shared" ca="1" si="39"/>
        <v>38</v>
      </c>
      <c r="I39" s="11" t="s">
        <v>10</v>
      </c>
      <c r="J39" s="76"/>
      <c r="K39" s="54"/>
      <c r="P39" s="57">
        <f>WEEKNUM(F39,2)-1</f>
        <v>12</v>
      </c>
      <c r="Q39" s="22" t="str">
        <f>TEXT(P39,"00")</f>
        <v>12</v>
      </c>
      <c r="R39" s="57">
        <f>WEEKNUM(G39,2)-1</f>
        <v>20</v>
      </c>
      <c r="S39" s="22" t="str">
        <f>TEXT(R39,"00")</f>
        <v>20</v>
      </c>
      <c r="T39" s="22">
        <f>YEAR(F39)</f>
        <v>2026</v>
      </c>
      <c r="U39" s="22">
        <f>YEAR(G39)</f>
        <v>2026</v>
      </c>
      <c r="W39" s="22" t="str">
        <f>T39&amp;Q39</f>
        <v>202612</v>
      </c>
      <c r="X39" s="22" t="str">
        <f>U39&amp;S39</f>
        <v>202620</v>
      </c>
    </row>
    <row r="40" spans="2:24" outlineLevel="1">
      <c r="B40" s="117">
        <f>IF(C40&lt;&gt;"","",MAX($B$16:B39)+1)</f>
        <v>404</v>
      </c>
      <c r="C40" s="119"/>
      <c r="D40" s="121" t="s">
        <v>96</v>
      </c>
      <c r="E40" s="11" t="s">
        <v>37</v>
      </c>
      <c r="F40" s="93">
        <v>46105</v>
      </c>
      <c r="G40" s="93">
        <f t="shared" si="25"/>
        <v>46165</v>
      </c>
      <c r="H40" s="17">
        <f t="shared" ref="H40:H43" ca="1" si="44">IF(I40="Finished","",G40-$G$3)</f>
        <v>38</v>
      </c>
      <c r="I40" s="11" t="s">
        <v>6</v>
      </c>
      <c r="J40" s="76"/>
      <c r="K40" s="54"/>
      <c r="P40" s="57">
        <f t="shared" ref="P40:P41" si="45">WEEKNUM(F40,2)-1</f>
        <v>12</v>
      </c>
      <c r="Q40" s="22" t="str">
        <f t="shared" ref="Q40:Q41" si="46">TEXT(P40,"00")</f>
        <v>12</v>
      </c>
      <c r="R40" s="57">
        <f t="shared" ref="R40:R41" si="47">WEEKNUM(G40,2)-1</f>
        <v>20</v>
      </c>
      <c r="S40" s="22" t="str">
        <f t="shared" ref="S40:S41" si="48">TEXT(R40,"00")</f>
        <v>20</v>
      </c>
      <c r="T40" s="22">
        <f t="shared" ref="T40:U46" si="49">YEAR(F40)</f>
        <v>2026</v>
      </c>
      <c r="U40" s="22">
        <f t="shared" si="49"/>
        <v>2026</v>
      </c>
      <c r="W40" s="22" t="str">
        <f t="shared" ref="W40:W41" si="50">T40&amp;Q40</f>
        <v>202612</v>
      </c>
      <c r="X40" s="22" t="str">
        <f t="shared" ref="X40:X41" si="51">U40&amp;S40</f>
        <v>202620</v>
      </c>
    </row>
    <row r="41" spans="2:24" ht="89.25" outlineLevel="1">
      <c r="B41" s="117" t="str">
        <f>IF(C41&lt;&gt;"","",MAX($B$16:B40)+1)</f>
        <v/>
      </c>
      <c r="C41" s="119" t="s">
        <v>125</v>
      </c>
      <c r="D41" s="120" t="s">
        <v>97</v>
      </c>
      <c r="E41" s="11" t="s">
        <v>37</v>
      </c>
      <c r="F41" s="93">
        <v>46105</v>
      </c>
      <c r="G41" s="93">
        <f t="shared" si="25"/>
        <v>46165</v>
      </c>
      <c r="H41" s="17">
        <f t="shared" ca="1" si="44"/>
        <v>38</v>
      </c>
      <c r="I41" s="11" t="s">
        <v>6</v>
      </c>
      <c r="J41" s="98" t="s">
        <v>156</v>
      </c>
      <c r="K41" s="54"/>
      <c r="P41" s="57">
        <f t="shared" si="45"/>
        <v>12</v>
      </c>
      <c r="Q41" s="22" t="str">
        <f t="shared" si="46"/>
        <v>12</v>
      </c>
      <c r="R41" s="57">
        <f t="shared" si="47"/>
        <v>20</v>
      </c>
      <c r="S41" s="22" t="str">
        <f t="shared" si="48"/>
        <v>20</v>
      </c>
      <c r="T41" s="22">
        <f t="shared" si="49"/>
        <v>2026</v>
      </c>
      <c r="U41" s="22">
        <f t="shared" si="49"/>
        <v>2026</v>
      </c>
      <c r="W41" s="22" t="str">
        <f t="shared" si="50"/>
        <v>202612</v>
      </c>
      <c r="X41" s="22" t="str">
        <f t="shared" si="51"/>
        <v>202620</v>
      </c>
    </row>
    <row r="42" spans="2:24" s="87" customFormat="1" outlineLevel="1">
      <c r="B42" s="123"/>
      <c r="C42" s="119" t="s">
        <v>126</v>
      </c>
      <c r="D42" s="120" t="s">
        <v>98</v>
      </c>
      <c r="E42" s="11" t="s">
        <v>37</v>
      </c>
      <c r="F42" s="93">
        <v>46105</v>
      </c>
      <c r="G42" s="93">
        <f t="shared" si="25"/>
        <v>46165</v>
      </c>
      <c r="H42" s="17">
        <f t="shared" ca="1" si="44"/>
        <v>38</v>
      </c>
      <c r="I42" s="11" t="s">
        <v>10</v>
      </c>
      <c r="J42" s="76"/>
      <c r="K42" s="86"/>
      <c r="P42" s="88">
        <f>WEEKNUM(F42,2)-1</f>
        <v>12</v>
      </c>
      <c r="Q42" s="87" t="str">
        <f>TEXT(P42,"00")</f>
        <v>12</v>
      </c>
      <c r="R42" s="88">
        <f>WEEKNUM(G42,2)-1</f>
        <v>20</v>
      </c>
      <c r="S42" s="87" t="str">
        <f>TEXT(R42,"00")</f>
        <v>20</v>
      </c>
      <c r="T42" s="87">
        <f>YEAR(F42)</f>
        <v>2026</v>
      </c>
      <c r="U42" s="87">
        <f>YEAR(G42)</f>
        <v>2026</v>
      </c>
      <c r="W42" s="87" t="str">
        <f>T42&amp;Q42</f>
        <v>202612</v>
      </c>
      <c r="X42" s="87" t="str">
        <f>U42&amp;S42</f>
        <v>202620</v>
      </c>
    </row>
    <row r="43" spans="2:24" outlineLevel="1">
      <c r="B43" s="117" t="str">
        <f>IF(C43&lt;&gt;"","",MAX($B$16:B41)+1)</f>
        <v/>
      </c>
      <c r="C43" s="119" t="s">
        <v>127</v>
      </c>
      <c r="D43" s="120" t="s">
        <v>99</v>
      </c>
      <c r="E43" s="11" t="s">
        <v>122</v>
      </c>
      <c r="F43" s="93">
        <v>46105</v>
      </c>
      <c r="G43" s="93">
        <f t="shared" si="25"/>
        <v>46165</v>
      </c>
      <c r="H43" s="17">
        <f t="shared" ca="1" si="44"/>
        <v>38</v>
      </c>
      <c r="I43" s="11" t="s">
        <v>10</v>
      </c>
      <c r="J43" s="76"/>
      <c r="K43" s="54"/>
      <c r="P43" s="57">
        <f t="shared" ref="P43" si="52">WEEKNUM(F43,2)-1</f>
        <v>12</v>
      </c>
      <c r="Q43" s="22" t="str">
        <f t="shared" ref="Q43" si="53">TEXT(P43,"00")</f>
        <v>12</v>
      </c>
      <c r="R43" s="57">
        <f t="shared" ref="R43" si="54">WEEKNUM(G43,2)-1</f>
        <v>20</v>
      </c>
      <c r="S43" s="22" t="str">
        <f t="shared" ref="S43" si="55">TEXT(R43,"00")</f>
        <v>20</v>
      </c>
      <c r="T43" s="22">
        <f t="shared" ref="T43" si="56">YEAR(F43)</f>
        <v>2026</v>
      </c>
      <c r="U43" s="22">
        <f t="shared" ref="U43" si="57">YEAR(G43)</f>
        <v>2026</v>
      </c>
      <c r="W43" s="22" t="str">
        <f t="shared" ref="W43" si="58">T43&amp;Q43</f>
        <v>202612</v>
      </c>
      <c r="X43" s="22" t="str">
        <f t="shared" ref="X43" si="59">U43&amp;S43</f>
        <v>202620</v>
      </c>
    </row>
    <row r="44" spans="2:24" outlineLevel="1">
      <c r="B44" s="117">
        <f>IF(C44&lt;&gt;"","",MAX($B$16:B42)+1)</f>
        <v>405</v>
      </c>
      <c r="C44" s="119"/>
      <c r="D44" s="121" t="s">
        <v>100</v>
      </c>
      <c r="E44" s="11" t="s">
        <v>101</v>
      </c>
      <c r="F44" s="93">
        <v>46105</v>
      </c>
      <c r="G44" s="93">
        <f t="shared" si="25"/>
        <v>46165</v>
      </c>
      <c r="H44" s="13">
        <f t="shared" ref="H44" ca="1" si="60">IF(I44="Finished","",G44-$G$3)</f>
        <v>38</v>
      </c>
      <c r="I44" s="11" t="s">
        <v>10</v>
      </c>
      <c r="J44" s="76"/>
      <c r="K44" s="54"/>
      <c r="P44" s="22" t="e">
        <f>WEEKNUM(#REF!,2)-1</f>
        <v>#REF!</v>
      </c>
      <c r="Q44" s="22" t="e">
        <f t="shared" ref="Q44" si="61">TEXT(P44,"00")</f>
        <v>#REF!</v>
      </c>
      <c r="R44" s="22" t="e">
        <f>WEEKNUM(#REF!,2)-1</f>
        <v>#REF!</v>
      </c>
      <c r="S44" s="22" t="e">
        <f t="shared" ref="S44" si="62">TEXT(R44,"00")</f>
        <v>#REF!</v>
      </c>
      <c r="T44" s="22" t="e">
        <f>YEAR(#REF!)</f>
        <v>#REF!</v>
      </c>
      <c r="U44" s="22" t="e">
        <f>YEAR(#REF!)</f>
        <v>#REF!</v>
      </c>
      <c r="W44" s="22" t="e">
        <f t="shared" ref="W44" si="63">T44&amp;Q44</f>
        <v>#REF!</v>
      </c>
      <c r="X44" s="22" t="e">
        <f t="shared" ref="X44" si="64">U44&amp;S44</f>
        <v>#REF!</v>
      </c>
    </row>
    <row r="45" spans="2:24" outlineLevel="1">
      <c r="B45" s="15"/>
      <c r="C45" s="16"/>
      <c r="D45" s="56"/>
      <c r="E45" s="11"/>
      <c r="F45" s="12"/>
      <c r="G45" s="12"/>
      <c r="H45" s="13"/>
      <c r="I45" s="11"/>
      <c r="J45" s="76"/>
      <c r="K45" s="54"/>
    </row>
    <row r="46" spans="2:24">
      <c r="B46" s="58">
        <v>500</v>
      </c>
      <c r="C46" s="72"/>
      <c r="D46" s="60" t="s">
        <v>70</v>
      </c>
      <c r="E46" s="73"/>
      <c r="F46" s="62">
        <f>MIN(F47:F68)</f>
        <v>46105</v>
      </c>
      <c r="G46" s="62">
        <f>MAX(G47:G68)</f>
        <v>46165</v>
      </c>
      <c r="H46" s="63">
        <f t="shared" ref="H46" ca="1" si="65">IF(I46="Finished","",G46-$G$3)</f>
        <v>38</v>
      </c>
      <c r="I46" s="62" t="s">
        <v>10</v>
      </c>
      <c r="J46" s="83"/>
      <c r="K46" s="54"/>
      <c r="P46" s="22">
        <f>WEEKNUM(F46,2)-1</f>
        <v>12</v>
      </c>
      <c r="Q46" s="22" t="str">
        <f t="shared" si="3"/>
        <v>12</v>
      </c>
      <c r="R46" s="22">
        <f>WEEKNUM(G46,2)-1</f>
        <v>20</v>
      </c>
      <c r="S46" s="22" t="str">
        <f t="shared" si="4"/>
        <v>20</v>
      </c>
      <c r="T46" s="22">
        <f t="shared" si="49"/>
        <v>2026</v>
      </c>
      <c r="U46" s="22">
        <f t="shared" si="49"/>
        <v>2026</v>
      </c>
      <c r="W46" s="22" t="str">
        <f t="shared" si="5"/>
        <v>202612</v>
      </c>
      <c r="X46" s="22" t="str">
        <f t="shared" si="6"/>
        <v>202620</v>
      </c>
    </row>
    <row r="47" spans="2:24" outlineLevel="1">
      <c r="B47" s="15">
        <f>IF(C47&lt;&gt;"","",MAX($B$16:B46)+1)</f>
        <v>501</v>
      </c>
      <c r="C47" s="16"/>
      <c r="D47" s="56" t="s">
        <v>71</v>
      </c>
      <c r="E47" s="11" t="s">
        <v>37</v>
      </c>
      <c r="F47" s="93">
        <v>46105</v>
      </c>
      <c r="G47" s="93">
        <f t="shared" ref="G47:G68" si="66">F47+60</f>
        <v>46165</v>
      </c>
      <c r="H47" s="13">
        <f ca="1">IF(I47="Finished","",G47-$G$3)</f>
        <v>38</v>
      </c>
      <c r="I47" s="11" t="s">
        <v>10</v>
      </c>
      <c r="J47" s="76"/>
      <c r="K47" s="54"/>
      <c r="P47" s="22" t="e">
        <f>WEEKNUM(#REF!,2)-1</f>
        <v>#REF!</v>
      </c>
      <c r="Q47" s="22" t="e">
        <f t="shared" si="3"/>
        <v>#REF!</v>
      </c>
      <c r="R47" s="22" t="e">
        <f>WEEKNUM(#REF!,2)-1</f>
        <v>#REF!</v>
      </c>
      <c r="S47" s="22" t="e">
        <f t="shared" si="4"/>
        <v>#REF!</v>
      </c>
      <c r="T47" s="22" t="e">
        <f>YEAR(#REF!)</f>
        <v>#REF!</v>
      </c>
      <c r="U47" s="22" t="e">
        <f>YEAR(#REF!)</f>
        <v>#REF!</v>
      </c>
      <c r="W47" s="22" t="e">
        <f t="shared" si="5"/>
        <v>#REF!</v>
      </c>
      <c r="X47" s="22" t="e">
        <f t="shared" si="6"/>
        <v>#REF!</v>
      </c>
    </row>
    <row r="48" spans="2:24" outlineLevel="1">
      <c r="B48" s="15" t="str">
        <f>IF(C48&lt;&gt;"","",MAX($B$16:B47)+1)</f>
        <v/>
      </c>
      <c r="C48" s="16" t="s">
        <v>104</v>
      </c>
      <c r="D48" s="19" t="s">
        <v>73</v>
      </c>
      <c r="E48" s="11" t="s">
        <v>119</v>
      </c>
      <c r="F48" s="93">
        <v>46105</v>
      </c>
      <c r="G48" s="93">
        <f t="shared" si="66"/>
        <v>46165</v>
      </c>
      <c r="H48" s="17">
        <f t="shared" ref="H48:H68" ca="1" si="67">IF(I48="Finished","",G48-$G$3)</f>
        <v>38</v>
      </c>
      <c r="I48" s="11" t="s">
        <v>6</v>
      </c>
      <c r="J48" s="97" t="s">
        <v>155</v>
      </c>
      <c r="K48" s="54"/>
      <c r="P48" s="22" t="e">
        <f>WEEKNUM(#REF!,2)-1</f>
        <v>#REF!</v>
      </c>
      <c r="Q48" s="22" t="e">
        <f t="shared" si="3"/>
        <v>#REF!</v>
      </c>
      <c r="R48" s="22" t="e">
        <f>WEEKNUM(#REF!,2)-1</f>
        <v>#REF!</v>
      </c>
      <c r="S48" s="22" t="e">
        <f t="shared" si="4"/>
        <v>#REF!</v>
      </c>
      <c r="T48" s="22" t="e">
        <f>YEAR(#REF!)</f>
        <v>#REF!</v>
      </c>
      <c r="U48" s="22" t="e">
        <f>YEAR(#REF!)</f>
        <v>#REF!</v>
      </c>
      <c r="W48" s="22" t="e">
        <f t="shared" si="5"/>
        <v>#REF!</v>
      </c>
      <c r="X48" s="22" t="e">
        <f t="shared" si="6"/>
        <v>#REF!</v>
      </c>
    </row>
    <row r="49" spans="2:24" outlineLevel="1">
      <c r="B49" s="124">
        <f>IF(C49&lt;&gt;"","",MAX($B$16:B48)+1)</f>
        <v>502</v>
      </c>
      <c r="C49" s="125"/>
      <c r="D49" s="126" t="s">
        <v>65</v>
      </c>
      <c r="E49" s="11" t="s">
        <v>37</v>
      </c>
      <c r="F49" s="93">
        <v>46105</v>
      </c>
      <c r="G49" s="93">
        <f t="shared" si="66"/>
        <v>46165</v>
      </c>
      <c r="H49" s="13">
        <f t="shared" ca="1" si="67"/>
        <v>38</v>
      </c>
      <c r="I49" s="11" t="s">
        <v>10</v>
      </c>
      <c r="J49" s="76"/>
      <c r="K49" s="54"/>
      <c r="P49" s="22" t="e">
        <f>WEEKNUM(#REF!,2)-1</f>
        <v>#REF!</v>
      </c>
      <c r="Q49" s="22" t="e">
        <f t="shared" si="3"/>
        <v>#REF!</v>
      </c>
      <c r="R49" s="22" t="e">
        <f>WEEKNUM(#REF!,2)-1</f>
        <v>#REF!</v>
      </c>
      <c r="S49" s="22" t="e">
        <f t="shared" si="4"/>
        <v>#REF!</v>
      </c>
      <c r="T49" s="22" t="e">
        <f>YEAR(#REF!)</f>
        <v>#REF!</v>
      </c>
      <c r="U49" s="22" t="e">
        <f>YEAR(#REF!)</f>
        <v>#REF!</v>
      </c>
      <c r="W49" s="22" t="e">
        <f t="shared" si="5"/>
        <v>#REF!</v>
      </c>
      <c r="X49" s="22" t="e">
        <f t="shared" si="6"/>
        <v>#REF!</v>
      </c>
    </row>
    <row r="50" spans="2:24" outlineLevel="1">
      <c r="B50" s="124" t="str">
        <f>IF(C50&lt;&gt;"","",MAX($B$16:B49)+1)</f>
        <v/>
      </c>
      <c r="C50" s="125" t="s">
        <v>128</v>
      </c>
      <c r="D50" s="127" t="s">
        <v>75</v>
      </c>
      <c r="E50" s="11" t="s">
        <v>37</v>
      </c>
      <c r="F50" s="93">
        <v>46105</v>
      </c>
      <c r="G50" s="93">
        <f t="shared" si="66"/>
        <v>46165</v>
      </c>
      <c r="H50" s="13">
        <f t="shared" ca="1" si="67"/>
        <v>38</v>
      </c>
      <c r="I50" s="11" t="s">
        <v>10</v>
      </c>
      <c r="J50" s="76"/>
      <c r="K50" s="54"/>
      <c r="P50" s="57">
        <f t="shared" ref="P50:P56" si="68">WEEKNUM(F50,2)-1</f>
        <v>12</v>
      </c>
      <c r="Q50" s="22" t="str">
        <f t="shared" ref="Q50:Q56" si="69">TEXT(P50,"00")</f>
        <v>12</v>
      </c>
      <c r="R50" s="57">
        <f t="shared" ref="R50:R56" si="70">WEEKNUM(G50,2)-1</f>
        <v>20</v>
      </c>
      <c r="S50" s="22" t="str">
        <f t="shared" ref="S50:S56" si="71">TEXT(R50,"00")</f>
        <v>20</v>
      </c>
      <c r="T50" s="22">
        <f t="shared" ref="T50:U56" si="72">YEAR(F50)</f>
        <v>2026</v>
      </c>
      <c r="U50" s="22">
        <f t="shared" si="72"/>
        <v>2026</v>
      </c>
      <c r="W50" s="22" t="str">
        <f t="shared" ref="W50:W56" si="73">T50&amp;Q50</f>
        <v>202612</v>
      </c>
      <c r="X50" s="22" t="str">
        <f t="shared" ref="X50:X56" si="74">U50&amp;S50</f>
        <v>202620</v>
      </c>
    </row>
    <row r="51" spans="2:24" outlineLevel="1">
      <c r="B51" s="124"/>
      <c r="C51" s="125" t="s">
        <v>129</v>
      </c>
      <c r="D51" s="127" t="s">
        <v>77</v>
      </c>
      <c r="E51" s="11" t="s">
        <v>37</v>
      </c>
      <c r="F51" s="93">
        <v>46105</v>
      </c>
      <c r="G51" s="93">
        <f t="shared" si="66"/>
        <v>46165</v>
      </c>
      <c r="H51" s="13">
        <f t="shared" ref="H51" ca="1" si="75">IF(I51="Finished","",G51-$G$3)</f>
        <v>38</v>
      </c>
      <c r="I51" s="11" t="s">
        <v>10</v>
      </c>
      <c r="J51" s="76"/>
      <c r="K51" s="54"/>
      <c r="P51" s="57">
        <f>WEEKNUM(F51,2)-1</f>
        <v>12</v>
      </c>
      <c r="Q51" s="22" t="str">
        <f>TEXT(P51,"00")</f>
        <v>12</v>
      </c>
      <c r="R51" s="57">
        <f>WEEKNUM(G51,2)-1</f>
        <v>20</v>
      </c>
      <c r="S51" s="22" t="str">
        <f>TEXT(R51,"00")</f>
        <v>20</v>
      </c>
      <c r="T51" s="22">
        <f>YEAR(F51)</f>
        <v>2026</v>
      </c>
      <c r="U51" s="22">
        <f>YEAR(G51)</f>
        <v>2026</v>
      </c>
      <c r="W51" s="22" t="str">
        <f>T51&amp;Q51</f>
        <v>202612</v>
      </c>
      <c r="X51" s="22" t="str">
        <f>U51&amp;S51</f>
        <v>202620</v>
      </c>
    </row>
    <row r="52" spans="2:24" outlineLevel="1">
      <c r="B52" s="124"/>
      <c r="C52" s="125" t="s">
        <v>130</v>
      </c>
      <c r="D52" s="127" t="s">
        <v>79</v>
      </c>
      <c r="E52" s="11" t="s">
        <v>37</v>
      </c>
      <c r="F52" s="93">
        <v>46105</v>
      </c>
      <c r="G52" s="93">
        <f t="shared" si="66"/>
        <v>46165</v>
      </c>
      <c r="H52" s="13">
        <f t="shared" ref="H52:H57" ca="1" si="76">IF(I52="Finished","",G52-$G$3)</f>
        <v>38</v>
      </c>
      <c r="I52" s="11" t="s">
        <v>10</v>
      </c>
      <c r="J52" s="76"/>
      <c r="K52" s="54"/>
      <c r="P52" s="57">
        <f t="shared" si="68"/>
        <v>12</v>
      </c>
      <c r="Q52" s="22" t="str">
        <f t="shared" si="69"/>
        <v>12</v>
      </c>
      <c r="R52" s="57">
        <f t="shared" si="70"/>
        <v>20</v>
      </c>
      <c r="S52" s="22" t="str">
        <f t="shared" si="71"/>
        <v>20</v>
      </c>
      <c r="T52" s="22">
        <f t="shared" si="72"/>
        <v>2026</v>
      </c>
      <c r="U52" s="22">
        <f t="shared" si="72"/>
        <v>2026</v>
      </c>
      <c r="W52" s="22" t="str">
        <f t="shared" si="73"/>
        <v>202612</v>
      </c>
      <c r="X52" s="22" t="str">
        <f t="shared" si="74"/>
        <v>202620</v>
      </c>
    </row>
    <row r="53" spans="2:24" outlineLevel="1">
      <c r="B53" s="124"/>
      <c r="C53" s="125" t="s">
        <v>131</v>
      </c>
      <c r="D53" s="127" t="s">
        <v>80</v>
      </c>
      <c r="E53" s="74" t="s">
        <v>121</v>
      </c>
      <c r="F53" s="93">
        <v>46105</v>
      </c>
      <c r="G53" s="93">
        <f t="shared" si="66"/>
        <v>46165</v>
      </c>
      <c r="H53" s="75">
        <f t="shared" ca="1" si="76"/>
        <v>38</v>
      </c>
      <c r="I53" s="11" t="s">
        <v>10</v>
      </c>
      <c r="J53" s="76"/>
      <c r="K53" s="54"/>
      <c r="P53" s="57">
        <f t="shared" si="68"/>
        <v>12</v>
      </c>
      <c r="Q53" s="22" t="str">
        <f t="shared" si="69"/>
        <v>12</v>
      </c>
      <c r="R53" s="57">
        <f t="shared" si="70"/>
        <v>20</v>
      </c>
      <c r="S53" s="22" t="str">
        <f t="shared" si="71"/>
        <v>20</v>
      </c>
      <c r="T53" s="22">
        <f t="shared" si="72"/>
        <v>2026</v>
      </c>
      <c r="U53" s="22">
        <f t="shared" si="72"/>
        <v>2026</v>
      </c>
      <c r="W53" s="22" t="str">
        <f t="shared" si="73"/>
        <v>202612</v>
      </c>
      <c r="X53" s="22" t="str">
        <f t="shared" si="74"/>
        <v>202620</v>
      </c>
    </row>
    <row r="54" spans="2:24" s="87" customFormat="1" ht="25.5" outlineLevel="1">
      <c r="B54" s="128"/>
      <c r="C54" s="125" t="s">
        <v>132</v>
      </c>
      <c r="D54" s="127" t="s">
        <v>81</v>
      </c>
      <c r="E54" s="74" t="s">
        <v>37</v>
      </c>
      <c r="F54" s="93">
        <v>46105</v>
      </c>
      <c r="G54" s="93">
        <f t="shared" si="66"/>
        <v>46165</v>
      </c>
      <c r="H54" s="13">
        <f t="shared" ca="1" si="76"/>
        <v>38</v>
      </c>
      <c r="I54" s="11" t="s">
        <v>6</v>
      </c>
      <c r="J54" s="94" t="s">
        <v>157</v>
      </c>
      <c r="K54" s="86"/>
      <c r="P54" s="88">
        <f t="shared" si="68"/>
        <v>12</v>
      </c>
      <c r="Q54" s="87" t="str">
        <f t="shared" si="69"/>
        <v>12</v>
      </c>
      <c r="R54" s="88">
        <f t="shared" si="70"/>
        <v>20</v>
      </c>
      <c r="S54" s="87" t="str">
        <f t="shared" si="71"/>
        <v>20</v>
      </c>
      <c r="T54" s="87">
        <f t="shared" si="72"/>
        <v>2026</v>
      </c>
      <c r="U54" s="87">
        <f t="shared" si="72"/>
        <v>2026</v>
      </c>
      <c r="W54" s="87" t="str">
        <f t="shared" si="73"/>
        <v>202612</v>
      </c>
      <c r="X54" s="87" t="str">
        <f t="shared" si="74"/>
        <v>202620</v>
      </c>
    </row>
    <row r="55" spans="2:24" ht="25.5" outlineLevel="1">
      <c r="B55" s="124"/>
      <c r="C55" s="125" t="s">
        <v>133</v>
      </c>
      <c r="D55" s="127" t="s">
        <v>82</v>
      </c>
      <c r="E55" s="74" t="s">
        <v>37</v>
      </c>
      <c r="F55" s="93">
        <v>46105</v>
      </c>
      <c r="G55" s="93">
        <f t="shared" si="66"/>
        <v>46165</v>
      </c>
      <c r="H55" s="13">
        <f t="shared" ca="1" si="76"/>
        <v>38</v>
      </c>
      <c r="I55" s="11" t="s">
        <v>6</v>
      </c>
      <c r="J55" s="94" t="s">
        <v>159</v>
      </c>
      <c r="K55" s="54"/>
      <c r="P55" s="57">
        <f t="shared" si="68"/>
        <v>12</v>
      </c>
      <c r="Q55" s="22" t="str">
        <f t="shared" si="69"/>
        <v>12</v>
      </c>
      <c r="R55" s="57">
        <f t="shared" si="70"/>
        <v>20</v>
      </c>
      <c r="S55" s="22" t="str">
        <f t="shared" si="71"/>
        <v>20</v>
      </c>
      <c r="T55" s="22">
        <f>YEAR(F55)</f>
        <v>2026</v>
      </c>
      <c r="U55" s="22">
        <f>YEAR(G55)</f>
        <v>2026</v>
      </c>
      <c r="W55" s="22" t="str">
        <f t="shared" si="73"/>
        <v>202612</v>
      </c>
      <c r="X55" s="22" t="str">
        <f t="shared" si="74"/>
        <v>202620</v>
      </c>
    </row>
    <row r="56" spans="2:24" s="87" customFormat="1" outlineLevel="1">
      <c r="B56" s="128"/>
      <c r="C56" s="125" t="s">
        <v>134</v>
      </c>
      <c r="D56" s="127" t="s">
        <v>83</v>
      </c>
      <c r="E56" s="11" t="s">
        <v>43</v>
      </c>
      <c r="F56" s="93">
        <v>46105</v>
      </c>
      <c r="G56" s="93">
        <f t="shared" si="66"/>
        <v>46165</v>
      </c>
      <c r="H56" s="13">
        <f t="shared" ca="1" si="76"/>
        <v>38</v>
      </c>
      <c r="I56" s="11" t="s">
        <v>6</v>
      </c>
      <c r="J56" s="94" t="s">
        <v>158</v>
      </c>
      <c r="K56" s="86"/>
      <c r="P56" s="88">
        <f t="shared" si="68"/>
        <v>12</v>
      </c>
      <c r="Q56" s="87" t="str">
        <f t="shared" si="69"/>
        <v>12</v>
      </c>
      <c r="R56" s="88">
        <f t="shared" si="70"/>
        <v>20</v>
      </c>
      <c r="S56" s="87" t="str">
        <f t="shared" si="71"/>
        <v>20</v>
      </c>
      <c r="T56" s="87">
        <f t="shared" si="72"/>
        <v>2026</v>
      </c>
      <c r="U56" s="87">
        <f t="shared" si="72"/>
        <v>2026</v>
      </c>
      <c r="W56" s="87" t="str">
        <f t="shared" si="73"/>
        <v>202612</v>
      </c>
      <c r="X56" s="87" t="str">
        <f t="shared" si="74"/>
        <v>202620</v>
      </c>
    </row>
    <row r="57" spans="2:24" s="87" customFormat="1" hidden="1" outlineLevel="1">
      <c r="B57" s="128"/>
      <c r="C57" s="125" t="s">
        <v>135</v>
      </c>
      <c r="D57" s="127" t="s">
        <v>84</v>
      </c>
      <c r="E57" s="11" t="s">
        <v>37</v>
      </c>
      <c r="F57" s="93">
        <v>46105</v>
      </c>
      <c r="G57" s="93">
        <f t="shared" si="66"/>
        <v>46165</v>
      </c>
      <c r="H57" s="13">
        <f t="shared" ca="1" si="76"/>
        <v>38</v>
      </c>
      <c r="I57" s="11" t="s">
        <v>10</v>
      </c>
      <c r="J57" s="76"/>
      <c r="K57" s="86"/>
      <c r="P57" s="88">
        <f>WEEKNUM(F57,2)-1</f>
        <v>12</v>
      </c>
      <c r="Q57" s="87" t="str">
        <f>TEXT(P57,"00")</f>
        <v>12</v>
      </c>
      <c r="R57" s="88">
        <f>WEEKNUM(G57,2)-1</f>
        <v>20</v>
      </c>
      <c r="S57" s="87" t="str">
        <f>TEXT(R57,"00")</f>
        <v>20</v>
      </c>
      <c r="T57" s="87">
        <f>YEAR(F57)</f>
        <v>2026</v>
      </c>
      <c r="U57" s="87">
        <f>YEAR(G57)</f>
        <v>2026</v>
      </c>
      <c r="W57" s="87" t="str">
        <f>T57&amp;Q57</f>
        <v>202612</v>
      </c>
      <c r="X57" s="87" t="str">
        <f>U57&amp;S57</f>
        <v>202620</v>
      </c>
    </row>
    <row r="58" spans="2:24" outlineLevel="1">
      <c r="B58" s="124" t="str">
        <f>IF(C58&lt;&gt;"","",MAX($B$16:B50)+1)</f>
        <v/>
      </c>
      <c r="C58" s="125" t="s">
        <v>136</v>
      </c>
      <c r="D58" s="127" t="s">
        <v>85</v>
      </c>
      <c r="E58" s="11" t="s">
        <v>37</v>
      </c>
      <c r="F58" s="93">
        <v>46105</v>
      </c>
      <c r="G58" s="93">
        <f t="shared" si="66"/>
        <v>46165</v>
      </c>
      <c r="H58" s="17">
        <f t="shared" ca="1" si="67"/>
        <v>38</v>
      </c>
      <c r="I58" s="11" t="s">
        <v>10</v>
      </c>
      <c r="J58" s="76"/>
      <c r="K58" s="54"/>
      <c r="P58" s="22">
        <f>WEEKNUM(F47,2)-1</f>
        <v>12</v>
      </c>
      <c r="Q58" s="22" t="str">
        <f t="shared" si="3"/>
        <v>12</v>
      </c>
      <c r="R58" s="22">
        <f>WEEKNUM(G47,2)-1</f>
        <v>20</v>
      </c>
      <c r="S58" s="22" t="str">
        <f t="shared" si="4"/>
        <v>20</v>
      </c>
      <c r="T58" s="22">
        <f>YEAR(F47)</f>
        <v>2026</v>
      </c>
      <c r="U58" s="22">
        <f>YEAR(G47)</f>
        <v>2026</v>
      </c>
      <c r="W58" s="22" t="str">
        <f t="shared" si="5"/>
        <v>202612</v>
      </c>
      <c r="X58" s="22" t="str">
        <f t="shared" si="6"/>
        <v>202620</v>
      </c>
    </row>
    <row r="59" spans="2:24" ht="38.25" outlineLevel="1">
      <c r="B59" s="124" t="str">
        <f>IF(C59&lt;&gt;"","",MAX($B$16:B58)+1)</f>
        <v/>
      </c>
      <c r="C59" s="125" t="s">
        <v>137</v>
      </c>
      <c r="D59" s="127" t="s">
        <v>86</v>
      </c>
      <c r="E59" s="11" t="s">
        <v>37</v>
      </c>
      <c r="F59" s="93">
        <v>46105</v>
      </c>
      <c r="G59" s="93">
        <f t="shared" si="66"/>
        <v>46165</v>
      </c>
      <c r="H59" s="17">
        <f t="shared" ca="1" si="67"/>
        <v>38</v>
      </c>
      <c r="I59" s="11" t="s">
        <v>6</v>
      </c>
      <c r="J59" s="96" t="s">
        <v>160</v>
      </c>
      <c r="K59" s="54"/>
      <c r="P59" s="57">
        <f t="shared" ref="P59" si="77">WEEKNUM(F59,2)-1</f>
        <v>12</v>
      </c>
      <c r="Q59" s="22" t="str">
        <f t="shared" si="3"/>
        <v>12</v>
      </c>
      <c r="R59" s="57">
        <f t="shared" ref="R59" si="78">WEEKNUM(G59,2)-1</f>
        <v>20</v>
      </c>
      <c r="S59" s="22" t="str">
        <f t="shared" si="4"/>
        <v>20</v>
      </c>
      <c r="T59" s="22">
        <f t="shared" ref="T59:U59" si="79">YEAR(F59)</f>
        <v>2026</v>
      </c>
      <c r="U59" s="22">
        <f t="shared" si="79"/>
        <v>2026</v>
      </c>
      <c r="W59" s="22" t="str">
        <f t="shared" si="5"/>
        <v>202612</v>
      </c>
      <c r="X59" s="22" t="str">
        <f t="shared" si="6"/>
        <v>202620</v>
      </c>
    </row>
    <row r="60" spans="2:24" outlineLevel="1">
      <c r="B60" s="129">
        <f>IF(C60&lt;&gt;"","",MAX($B$16:B59)+1)</f>
        <v>503</v>
      </c>
      <c r="C60" s="130"/>
      <c r="D60" s="131" t="s">
        <v>87</v>
      </c>
      <c r="E60" s="11" t="s">
        <v>120</v>
      </c>
      <c r="F60" s="93">
        <v>46105</v>
      </c>
      <c r="G60" s="93">
        <f t="shared" si="66"/>
        <v>46165</v>
      </c>
      <c r="H60" s="13">
        <f t="shared" ca="1" si="67"/>
        <v>38</v>
      </c>
      <c r="I60" s="11" t="s">
        <v>10</v>
      </c>
      <c r="J60" s="76"/>
      <c r="K60" s="54"/>
      <c r="P60" s="57" t="e">
        <f>WEEKNUM(#REF!,2)-1</f>
        <v>#REF!</v>
      </c>
      <c r="Q60" s="22" t="e">
        <f t="shared" si="3"/>
        <v>#REF!</v>
      </c>
      <c r="R60" s="57" t="e">
        <f>WEEKNUM(#REF!,2)-1</f>
        <v>#REF!</v>
      </c>
      <c r="S60" s="22" t="e">
        <f t="shared" si="4"/>
        <v>#REF!</v>
      </c>
      <c r="T60" s="22" t="e">
        <f>YEAR(#REF!)</f>
        <v>#REF!</v>
      </c>
      <c r="U60" s="22" t="e">
        <f>YEAR(#REF!)</f>
        <v>#REF!</v>
      </c>
      <c r="W60" s="22" t="e">
        <f t="shared" si="5"/>
        <v>#REF!</v>
      </c>
      <c r="X60" s="22" t="e">
        <f t="shared" si="6"/>
        <v>#REF!</v>
      </c>
    </row>
    <row r="61" spans="2:24" outlineLevel="1">
      <c r="B61" s="129" t="str">
        <f>IF(C61&lt;&gt;"","",MAX($B$16:B60)+1)</f>
        <v/>
      </c>
      <c r="C61" s="130" t="s">
        <v>138</v>
      </c>
      <c r="D61" s="132" t="s">
        <v>89</v>
      </c>
      <c r="E61" s="11" t="s">
        <v>120</v>
      </c>
      <c r="F61" s="93">
        <v>46105</v>
      </c>
      <c r="G61" s="93">
        <f t="shared" si="66"/>
        <v>46165</v>
      </c>
      <c r="H61" s="13">
        <f t="shared" ca="1" si="67"/>
        <v>38</v>
      </c>
      <c r="I61" s="11" t="s">
        <v>10</v>
      </c>
      <c r="J61" s="76"/>
      <c r="K61" s="54"/>
      <c r="P61" s="57">
        <f t="shared" ref="P61" si="80">WEEKNUM(F61,2)-1</f>
        <v>12</v>
      </c>
      <c r="Q61" s="22" t="str">
        <f t="shared" si="3"/>
        <v>12</v>
      </c>
      <c r="R61" s="57">
        <f t="shared" ref="R61" si="81">WEEKNUM(G61,2)-1</f>
        <v>20</v>
      </c>
      <c r="S61" s="22" t="str">
        <f t="shared" si="4"/>
        <v>20</v>
      </c>
      <c r="T61" s="22">
        <f t="shared" ref="T61:U61" si="82">YEAR(F61)</f>
        <v>2026</v>
      </c>
      <c r="U61" s="22">
        <f t="shared" si="82"/>
        <v>2026</v>
      </c>
      <c r="W61" s="22" t="str">
        <f t="shared" si="5"/>
        <v>202612</v>
      </c>
      <c r="X61" s="22" t="str">
        <f t="shared" si="6"/>
        <v>202620</v>
      </c>
    </row>
    <row r="62" spans="2:24" outlineLevel="1">
      <c r="B62" s="129" t="str">
        <f>IF(C62&lt;&gt;"","",MAX($B$16:B61)+1)</f>
        <v/>
      </c>
      <c r="C62" s="130" t="s">
        <v>139</v>
      </c>
      <c r="D62" s="133" t="s">
        <v>91</v>
      </c>
      <c r="E62" s="11" t="s">
        <v>120</v>
      </c>
      <c r="F62" s="93">
        <v>46105</v>
      </c>
      <c r="G62" s="93">
        <f t="shared" si="66"/>
        <v>46165</v>
      </c>
      <c r="H62" s="17">
        <f t="shared" ca="1" si="67"/>
        <v>38</v>
      </c>
      <c r="I62" s="11" t="s">
        <v>10</v>
      </c>
      <c r="J62" s="76"/>
      <c r="K62" s="54"/>
      <c r="P62" s="22" t="e">
        <f>WEEKNUM(#REF!,2)-1</f>
        <v>#REF!</v>
      </c>
      <c r="Q62" s="22" t="e">
        <f t="shared" si="3"/>
        <v>#REF!</v>
      </c>
      <c r="R62" s="22" t="e">
        <f>WEEKNUM(#REF!,2)-1</f>
        <v>#REF!</v>
      </c>
      <c r="S62" s="22" t="e">
        <f t="shared" si="4"/>
        <v>#REF!</v>
      </c>
      <c r="T62" s="22" t="e">
        <f>YEAR(#REF!)</f>
        <v>#REF!</v>
      </c>
      <c r="U62" s="22" t="e">
        <f>YEAR(#REF!)</f>
        <v>#REF!</v>
      </c>
      <c r="W62" s="22" t="e">
        <f t="shared" si="5"/>
        <v>#REF!</v>
      </c>
      <c r="X62" s="22" t="e">
        <f t="shared" si="6"/>
        <v>#REF!</v>
      </c>
    </row>
    <row r="63" spans="2:24" outlineLevel="1">
      <c r="B63" s="129" t="str">
        <f>IF(C63&lt;&gt;"","",MAX($B$16:B62)+1)</f>
        <v/>
      </c>
      <c r="C63" s="130" t="s">
        <v>140</v>
      </c>
      <c r="D63" s="132" t="s">
        <v>93</v>
      </c>
      <c r="E63" s="11" t="s">
        <v>120</v>
      </c>
      <c r="F63" s="93">
        <v>46105</v>
      </c>
      <c r="G63" s="93">
        <f t="shared" si="66"/>
        <v>46165</v>
      </c>
      <c r="H63" s="17">
        <f t="shared" ca="1" si="67"/>
        <v>38</v>
      </c>
      <c r="I63" s="11" t="s">
        <v>10</v>
      </c>
      <c r="J63" s="76"/>
      <c r="K63" s="54"/>
      <c r="P63" s="57" t="e">
        <f>WEEKNUM(#REF!,2)-1</f>
        <v>#REF!</v>
      </c>
      <c r="Q63" s="22" t="e">
        <f t="shared" si="3"/>
        <v>#REF!</v>
      </c>
      <c r="R63" s="57" t="e">
        <f>WEEKNUM(#REF!,2)-1</f>
        <v>#REF!</v>
      </c>
      <c r="S63" s="22" t="e">
        <f t="shared" si="4"/>
        <v>#REF!</v>
      </c>
      <c r="T63" s="22" t="e">
        <f>YEAR(#REF!)</f>
        <v>#REF!</v>
      </c>
      <c r="U63" s="22" t="e">
        <f>YEAR(#REF!)</f>
        <v>#REF!</v>
      </c>
      <c r="W63" s="22" t="e">
        <f t="shared" si="5"/>
        <v>#REF!</v>
      </c>
      <c r="X63" s="22" t="e">
        <f t="shared" si="6"/>
        <v>#REF!</v>
      </c>
    </row>
    <row r="64" spans="2:24" ht="25.5" outlineLevel="1">
      <c r="B64" s="129"/>
      <c r="C64" s="130" t="s">
        <v>141</v>
      </c>
      <c r="D64" s="132" t="s">
        <v>94</v>
      </c>
      <c r="E64" s="11" t="s">
        <v>120</v>
      </c>
      <c r="F64" s="93">
        <v>46105</v>
      </c>
      <c r="G64" s="93">
        <f t="shared" si="66"/>
        <v>46165</v>
      </c>
      <c r="H64" s="17">
        <f t="shared" ref="H64" ca="1" si="83">IF(I64="Finished","",G64-$G$3)</f>
        <v>38</v>
      </c>
      <c r="I64" s="11" t="s">
        <v>6</v>
      </c>
      <c r="J64" s="98" t="s">
        <v>161</v>
      </c>
      <c r="K64" s="54"/>
      <c r="P64" s="57">
        <f>WEEKNUM(F64,2)-1</f>
        <v>12</v>
      </c>
      <c r="Q64" s="22" t="str">
        <f>TEXT(P64,"00")</f>
        <v>12</v>
      </c>
      <c r="R64" s="57">
        <f>WEEKNUM(G64,2)-1</f>
        <v>20</v>
      </c>
      <c r="S64" s="22" t="str">
        <f>TEXT(R64,"00")</f>
        <v>20</v>
      </c>
      <c r="T64" s="22">
        <f t="shared" ref="T64:U67" si="84">YEAR(F64)</f>
        <v>2026</v>
      </c>
      <c r="U64" s="22">
        <f t="shared" si="84"/>
        <v>2026</v>
      </c>
      <c r="W64" s="22" t="str">
        <f>T64&amp;Q64</f>
        <v>202612</v>
      </c>
      <c r="X64" s="22" t="str">
        <f>U64&amp;S64</f>
        <v>202620</v>
      </c>
    </row>
    <row r="65" spans="2:24" outlineLevel="1">
      <c r="B65" s="129"/>
      <c r="C65" s="130" t="s">
        <v>142</v>
      </c>
      <c r="D65" s="133" t="s">
        <v>95</v>
      </c>
      <c r="E65" s="11" t="s">
        <v>120</v>
      </c>
      <c r="F65" s="93">
        <v>46105</v>
      </c>
      <c r="G65" s="93">
        <f t="shared" si="66"/>
        <v>46165</v>
      </c>
      <c r="H65" s="17">
        <f t="shared" ref="H65:H67" ca="1" si="85">IF(I65="Finished","",G65-$G$3)</f>
        <v>38</v>
      </c>
      <c r="I65" s="11" t="s">
        <v>10</v>
      </c>
      <c r="J65" s="76"/>
      <c r="K65" s="54"/>
      <c r="P65" s="57">
        <f>WEEKNUM(F65,2)-1</f>
        <v>12</v>
      </c>
      <c r="Q65" s="22" t="str">
        <f>TEXT(P65,"00")</f>
        <v>12</v>
      </c>
      <c r="R65" s="57">
        <f>WEEKNUM(G65,2)-1</f>
        <v>20</v>
      </c>
      <c r="S65" s="22" t="str">
        <f>TEXT(R65,"00")</f>
        <v>20</v>
      </c>
      <c r="T65" s="22">
        <f t="shared" si="84"/>
        <v>2026</v>
      </c>
      <c r="U65" s="22">
        <f t="shared" si="84"/>
        <v>2026</v>
      </c>
      <c r="W65" s="22" t="str">
        <f>T65&amp;Q65</f>
        <v>202612</v>
      </c>
      <c r="X65" s="22" t="str">
        <f>U65&amp;S65</f>
        <v>202620</v>
      </c>
    </row>
    <row r="66" spans="2:24" outlineLevel="1">
      <c r="B66" s="129"/>
      <c r="C66" s="130" t="s">
        <v>143</v>
      </c>
      <c r="D66" s="133" t="s">
        <v>66</v>
      </c>
      <c r="E66" s="11" t="s">
        <v>120</v>
      </c>
      <c r="F66" s="93">
        <v>46105</v>
      </c>
      <c r="G66" s="93">
        <f t="shared" si="66"/>
        <v>46165</v>
      </c>
      <c r="H66" s="17">
        <f t="shared" ca="1" si="85"/>
        <v>38</v>
      </c>
      <c r="I66" s="11" t="s">
        <v>10</v>
      </c>
      <c r="J66" s="76"/>
      <c r="K66" s="54"/>
      <c r="P66" s="57">
        <f>WEEKNUM(F66,2)-1</f>
        <v>12</v>
      </c>
      <c r="Q66" s="22" t="str">
        <f>TEXT(P66,"00")</f>
        <v>12</v>
      </c>
      <c r="R66" s="57">
        <f>WEEKNUM(G66,2)-1</f>
        <v>20</v>
      </c>
      <c r="S66" s="22" t="str">
        <f>TEXT(R66,"00")</f>
        <v>20</v>
      </c>
      <c r="T66" s="22">
        <f t="shared" si="84"/>
        <v>2026</v>
      </c>
      <c r="U66" s="22">
        <f t="shared" si="84"/>
        <v>2026</v>
      </c>
      <c r="W66" s="22" t="str">
        <f>T66&amp;Q66</f>
        <v>202612</v>
      </c>
      <c r="X66" s="22" t="str">
        <f>U66&amp;S66</f>
        <v>202620</v>
      </c>
    </row>
    <row r="67" spans="2:24" outlineLevel="1">
      <c r="B67" s="129"/>
      <c r="C67" s="130" t="s">
        <v>144</v>
      </c>
      <c r="D67" s="133" t="s">
        <v>67</v>
      </c>
      <c r="E67" s="11" t="s">
        <v>120</v>
      </c>
      <c r="F67" s="93">
        <v>46105</v>
      </c>
      <c r="G67" s="93">
        <f t="shared" si="66"/>
        <v>46165</v>
      </c>
      <c r="H67" s="17">
        <f t="shared" ca="1" si="85"/>
        <v>38</v>
      </c>
      <c r="I67" s="11" t="s">
        <v>10</v>
      </c>
      <c r="J67" s="76"/>
      <c r="K67" s="54"/>
      <c r="P67" s="57">
        <f>WEEKNUM(F67,2)-1</f>
        <v>12</v>
      </c>
      <c r="Q67" s="22" t="str">
        <f>TEXT(P67,"00")</f>
        <v>12</v>
      </c>
      <c r="R67" s="57">
        <f>WEEKNUM(G67,2)-1</f>
        <v>20</v>
      </c>
      <c r="S67" s="22" t="str">
        <f>TEXT(R67,"00")</f>
        <v>20</v>
      </c>
      <c r="T67" s="22">
        <f t="shared" si="84"/>
        <v>2026</v>
      </c>
      <c r="U67" s="22">
        <f t="shared" si="84"/>
        <v>2026</v>
      </c>
      <c r="W67" s="22" t="str">
        <f>T67&amp;Q67</f>
        <v>202612</v>
      </c>
      <c r="X67" s="22" t="str">
        <f>U67&amp;S67</f>
        <v>202620</v>
      </c>
    </row>
    <row r="68" spans="2:24" outlineLevel="1">
      <c r="B68" s="129" t="str">
        <f>IF(C65&lt;&gt;"","",MAX($B$16:B63)+1)</f>
        <v/>
      </c>
      <c r="C68" s="130" t="s">
        <v>145</v>
      </c>
      <c r="D68" s="133" t="s">
        <v>68</v>
      </c>
      <c r="E68" s="11" t="s">
        <v>120</v>
      </c>
      <c r="F68" s="93">
        <v>46105</v>
      </c>
      <c r="G68" s="93">
        <f t="shared" si="66"/>
        <v>46165</v>
      </c>
      <c r="H68" s="17">
        <f t="shared" ca="1" si="67"/>
        <v>38</v>
      </c>
      <c r="I68" s="11" t="s">
        <v>10</v>
      </c>
      <c r="J68" s="76"/>
      <c r="K68" s="54"/>
      <c r="P68" s="57">
        <f>WEEKNUM(F68,2)-1</f>
        <v>12</v>
      </c>
      <c r="Q68" s="22" t="str">
        <f t="shared" si="3"/>
        <v>12</v>
      </c>
      <c r="R68" s="57">
        <f>WEEKNUM(G68,2)-1</f>
        <v>20</v>
      </c>
      <c r="S68" s="22" t="str">
        <f t="shared" si="4"/>
        <v>20</v>
      </c>
      <c r="T68" s="22">
        <f t="shared" ref="T68:U68" si="86">YEAR(F68)</f>
        <v>2026</v>
      </c>
      <c r="U68" s="22">
        <f t="shared" si="86"/>
        <v>2026</v>
      </c>
      <c r="W68" s="22" t="str">
        <f t="shared" si="5"/>
        <v>202612</v>
      </c>
      <c r="X68" s="22" t="str">
        <f t="shared" si="6"/>
        <v>202620</v>
      </c>
    </row>
    <row r="69" spans="2:24" outlineLevel="1">
      <c r="B69" s="15"/>
      <c r="C69" s="64"/>
      <c r="D69" s="56"/>
      <c r="E69" s="11"/>
      <c r="F69" s="12"/>
      <c r="G69" s="12"/>
      <c r="H69" s="13"/>
      <c r="I69" s="11"/>
      <c r="J69" s="14"/>
      <c r="K69" s="54"/>
      <c r="P69" s="22">
        <f t="shared" ref="P69:P127" si="87">WEEKNUM(F69,2)-1</f>
        <v>0</v>
      </c>
      <c r="Q69" s="22" t="str">
        <f t="shared" si="3"/>
        <v>00</v>
      </c>
      <c r="R69" s="22">
        <f t="shared" ref="R69:R127" si="88">WEEKNUM(G69,2)-1</f>
        <v>0</v>
      </c>
      <c r="S69" s="22" t="str">
        <f t="shared" si="4"/>
        <v>00</v>
      </c>
      <c r="T69" s="22">
        <f t="shared" ref="T69:U84" si="89">YEAR(F69)</f>
        <v>1900</v>
      </c>
      <c r="U69" s="22">
        <f t="shared" si="89"/>
        <v>1900</v>
      </c>
      <c r="W69" s="22" t="str">
        <f t="shared" si="5"/>
        <v>190000</v>
      </c>
      <c r="X69" s="22" t="str">
        <f t="shared" si="6"/>
        <v>190000</v>
      </c>
    </row>
    <row r="70" spans="2:24">
      <c r="B70" s="134">
        <v>600</v>
      </c>
      <c r="C70" s="135"/>
      <c r="D70" s="136" t="s">
        <v>102</v>
      </c>
      <c r="E70" s="61"/>
      <c r="F70" s="62">
        <f>MIN(F71:F75)</f>
        <v>46105</v>
      </c>
      <c r="G70" s="62">
        <f>MAX(G71:G75)</f>
        <v>46165</v>
      </c>
      <c r="H70" s="63">
        <f t="shared" ref="H70:H75" ca="1" si="90">IF(I70="Finished","",G70-$G$3)</f>
        <v>38</v>
      </c>
      <c r="I70" s="62" t="s">
        <v>10</v>
      </c>
      <c r="J70" s="84"/>
      <c r="K70" s="54"/>
      <c r="P70" s="22">
        <f t="shared" si="87"/>
        <v>12</v>
      </c>
      <c r="Q70" s="22" t="str">
        <f t="shared" si="3"/>
        <v>12</v>
      </c>
      <c r="R70" s="22">
        <f t="shared" si="88"/>
        <v>20</v>
      </c>
      <c r="S70" s="22" t="str">
        <f t="shared" si="4"/>
        <v>20</v>
      </c>
      <c r="T70" s="22">
        <f t="shared" si="89"/>
        <v>2026</v>
      </c>
      <c r="U70" s="22">
        <f t="shared" si="89"/>
        <v>2026</v>
      </c>
      <c r="W70" s="22" t="str">
        <f t="shared" si="5"/>
        <v>202612</v>
      </c>
      <c r="X70" s="22" t="str">
        <f t="shared" si="6"/>
        <v>202620</v>
      </c>
    </row>
    <row r="71" spans="2:24" ht="12.75" customHeight="1" outlineLevel="1">
      <c r="B71" s="137">
        <f>IF(C71&lt;&gt;"","",MAX($B$16:B70)+1)</f>
        <v>601</v>
      </c>
      <c r="C71" s="138"/>
      <c r="D71" s="139" t="s">
        <v>103</v>
      </c>
      <c r="E71" s="11" t="s">
        <v>122</v>
      </c>
      <c r="F71" s="93">
        <v>46105</v>
      </c>
      <c r="G71" s="93">
        <f t="shared" ref="G71:G75" si="91">F71+60</f>
        <v>46165</v>
      </c>
      <c r="H71" s="13">
        <f t="shared" ca="1" si="90"/>
        <v>38</v>
      </c>
      <c r="I71" s="11" t="s">
        <v>10</v>
      </c>
      <c r="J71" s="76"/>
      <c r="K71" s="54"/>
      <c r="P71" s="57">
        <f t="shared" si="87"/>
        <v>12</v>
      </c>
      <c r="Q71" s="22" t="str">
        <f>TEXT(P71,"00")</f>
        <v>12</v>
      </c>
      <c r="R71" s="57">
        <f t="shared" si="88"/>
        <v>20</v>
      </c>
      <c r="S71" s="22" t="str">
        <f>TEXT(R71,"00")</f>
        <v>20</v>
      </c>
      <c r="T71" s="22">
        <f t="shared" si="89"/>
        <v>2026</v>
      </c>
      <c r="U71" s="22">
        <f t="shared" si="89"/>
        <v>2026</v>
      </c>
      <c r="W71" s="22" t="str">
        <f>T71&amp;Q71</f>
        <v>202612</v>
      </c>
      <c r="X71" s="22" t="str">
        <f>U71&amp;S71</f>
        <v>202620</v>
      </c>
    </row>
    <row r="72" spans="2:24" outlineLevel="1">
      <c r="B72" s="137" t="str">
        <f>IF(C72&lt;&gt;"","",MAX($B$16:B71)+1)</f>
        <v/>
      </c>
      <c r="C72" s="140" t="s">
        <v>146</v>
      </c>
      <c r="D72" s="141" t="s">
        <v>105</v>
      </c>
      <c r="E72" s="11" t="s">
        <v>122</v>
      </c>
      <c r="F72" s="93">
        <v>46105</v>
      </c>
      <c r="G72" s="93">
        <f t="shared" si="91"/>
        <v>46165</v>
      </c>
      <c r="H72" s="17">
        <f t="shared" ca="1" si="90"/>
        <v>38</v>
      </c>
      <c r="I72" s="11" t="s">
        <v>10</v>
      </c>
      <c r="J72" s="76"/>
      <c r="K72" s="54"/>
      <c r="P72" s="22">
        <f t="shared" si="87"/>
        <v>12</v>
      </c>
      <c r="Q72" s="22" t="str">
        <f t="shared" ref="Q72:Q130" si="92">TEXT(P72,"00")</f>
        <v>12</v>
      </c>
      <c r="R72" s="22">
        <f t="shared" si="88"/>
        <v>20</v>
      </c>
      <c r="S72" s="22" t="str">
        <f t="shared" ref="S72:S130" si="93">TEXT(R72,"00")</f>
        <v>20</v>
      </c>
      <c r="T72" s="22">
        <f t="shared" si="89"/>
        <v>2026</v>
      </c>
      <c r="U72" s="22">
        <f t="shared" si="89"/>
        <v>2026</v>
      </c>
      <c r="W72" s="22" t="str">
        <f t="shared" ref="W72:W130" si="94">T72&amp;Q72</f>
        <v>202612</v>
      </c>
      <c r="X72" s="22" t="str">
        <f t="shared" ref="X72:X130" si="95">U72&amp;S72</f>
        <v>202620</v>
      </c>
    </row>
    <row r="73" spans="2:24" outlineLevel="1">
      <c r="B73" s="137" t="str">
        <f>IF(C73&lt;&gt;"","",MAX($B$16:B72)+1)</f>
        <v/>
      </c>
      <c r="C73" s="140" t="s">
        <v>147</v>
      </c>
      <c r="D73" s="142" t="s">
        <v>106</v>
      </c>
      <c r="E73" s="11" t="s">
        <v>122</v>
      </c>
      <c r="F73" s="93">
        <v>46105</v>
      </c>
      <c r="G73" s="93">
        <f t="shared" si="91"/>
        <v>46165</v>
      </c>
      <c r="H73" s="17">
        <f t="shared" ca="1" si="90"/>
        <v>38</v>
      </c>
      <c r="I73" s="11" t="s">
        <v>10</v>
      </c>
      <c r="J73" s="76"/>
      <c r="K73" s="54"/>
      <c r="P73" s="57">
        <f t="shared" si="87"/>
        <v>12</v>
      </c>
      <c r="Q73" s="22" t="str">
        <f t="shared" si="92"/>
        <v>12</v>
      </c>
      <c r="R73" s="57">
        <f t="shared" si="88"/>
        <v>20</v>
      </c>
      <c r="S73" s="22" t="str">
        <f t="shared" si="93"/>
        <v>20</v>
      </c>
      <c r="T73" s="22">
        <f t="shared" si="89"/>
        <v>2026</v>
      </c>
      <c r="U73" s="22">
        <f t="shared" si="89"/>
        <v>2026</v>
      </c>
      <c r="W73" s="22" t="str">
        <f t="shared" si="94"/>
        <v>202612</v>
      </c>
      <c r="X73" s="22" t="str">
        <f t="shared" si="95"/>
        <v>202620</v>
      </c>
    </row>
    <row r="74" spans="2:24" outlineLevel="1">
      <c r="B74" s="137" t="str">
        <f>IF(C74&lt;&gt;"","",MAX($B$16:B73)+1)</f>
        <v/>
      </c>
      <c r="C74" s="140" t="s">
        <v>148</v>
      </c>
      <c r="D74" s="142" t="s">
        <v>107</v>
      </c>
      <c r="E74" s="11" t="s">
        <v>122</v>
      </c>
      <c r="F74" s="93">
        <v>46105</v>
      </c>
      <c r="G74" s="93">
        <f t="shared" si="91"/>
        <v>46165</v>
      </c>
      <c r="H74" s="17">
        <f t="shared" ca="1" si="90"/>
        <v>38</v>
      </c>
      <c r="I74" s="11" t="s">
        <v>10</v>
      </c>
      <c r="J74" s="76"/>
      <c r="K74" s="54"/>
      <c r="P74" s="57">
        <f t="shared" si="87"/>
        <v>12</v>
      </c>
      <c r="Q74" s="22" t="str">
        <f t="shared" si="92"/>
        <v>12</v>
      </c>
      <c r="R74" s="57">
        <f t="shared" si="88"/>
        <v>20</v>
      </c>
      <c r="S74" s="22" t="str">
        <f t="shared" si="93"/>
        <v>20</v>
      </c>
      <c r="T74" s="22">
        <f t="shared" si="89"/>
        <v>2026</v>
      </c>
      <c r="U74" s="22">
        <f t="shared" si="89"/>
        <v>2026</v>
      </c>
      <c r="W74" s="22" t="str">
        <f t="shared" si="94"/>
        <v>202612</v>
      </c>
      <c r="X74" s="22" t="str">
        <f t="shared" si="95"/>
        <v>202620</v>
      </c>
    </row>
    <row r="75" spans="2:24" outlineLevel="1">
      <c r="B75" s="137">
        <f>IF(C75&lt;&gt;"","",MAX($B$16:B74)+1)</f>
        <v>602</v>
      </c>
      <c r="C75" s="140"/>
      <c r="D75" s="143" t="s">
        <v>108</v>
      </c>
      <c r="E75" s="11" t="s">
        <v>122</v>
      </c>
      <c r="F75" s="93">
        <v>46105</v>
      </c>
      <c r="G75" s="93">
        <f t="shared" si="91"/>
        <v>46165</v>
      </c>
      <c r="H75" s="13">
        <f t="shared" ca="1" si="90"/>
        <v>38</v>
      </c>
      <c r="I75" s="11" t="s">
        <v>10</v>
      </c>
      <c r="J75" s="76"/>
      <c r="K75" s="54"/>
      <c r="P75" s="57">
        <f t="shared" si="87"/>
        <v>12</v>
      </c>
      <c r="Q75" s="22" t="str">
        <f t="shared" si="92"/>
        <v>12</v>
      </c>
      <c r="R75" s="57">
        <f t="shared" si="88"/>
        <v>20</v>
      </c>
      <c r="S75" s="22" t="str">
        <f t="shared" si="93"/>
        <v>20</v>
      </c>
      <c r="T75" s="22">
        <f t="shared" si="89"/>
        <v>2026</v>
      </c>
      <c r="U75" s="22">
        <f t="shared" si="89"/>
        <v>2026</v>
      </c>
      <c r="W75" s="22" t="str">
        <f t="shared" si="94"/>
        <v>202612</v>
      </c>
      <c r="X75" s="22" t="str">
        <f t="shared" si="95"/>
        <v>202620</v>
      </c>
    </row>
    <row r="76" spans="2:24" outlineLevel="1">
      <c r="B76" s="137"/>
      <c r="C76" s="138"/>
      <c r="D76" s="136"/>
      <c r="E76" s="11"/>
      <c r="F76" s="12"/>
      <c r="G76" s="12"/>
      <c r="H76" s="13"/>
      <c r="I76" s="11"/>
      <c r="J76" s="14"/>
      <c r="K76" s="54"/>
      <c r="P76" s="57">
        <f t="shared" si="87"/>
        <v>0</v>
      </c>
      <c r="Q76" s="22" t="str">
        <f t="shared" si="92"/>
        <v>00</v>
      </c>
      <c r="R76" s="57">
        <f t="shared" si="88"/>
        <v>0</v>
      </c>
      <c r="S76" s="22" t="str">
        <f t="shared" si="93"/>
        <v>00</v>
      </c>
      <c r="T76" s="22">
        <f t="shared" si="89"/>
        <v>1900</v>
      </c>
      <c r="U76" s="22">
        <f t="shared" si="89"/>
        <v>1900</v>
      </c>
      <c r="W76" s="22" t="str">
        <f t="shared" si="94"/>
        <v>190000</v>
      </c>
      <c r="X76" s="22" t="str">
        <f t="shared" si="95"/>
        <v>190000</v>
      </c>
    </row>
    <row r="77" spans="2:24" outlineLevel="1">
      <c r="B77" s="15"/>
      <c r="C77" s="64"/>
      <c r="D77" s="56"/>
      <c r="E77" s="11"/>
      <c r="F77" s="12"/>
      <c r="G77" s="12"/>
      <c r="H77" s="13"/>
      <c r="I77" s="11"/>
      <c r="J77" s="14"/>
      <c r="K77" s="54"/>
      <c r="P77" s="57">
        <f t="shared" si="87"/>
        <v>0</v>
      </c>
      <c r="Q77" s="22" t="str">
        <f t="shared" si="92"/>
        <v>00</v>
      </c>
      <c r="R77" s="57">
        <f t="shared" si="88"/>
        <v>0</v>
      </c>
      <c r="S77" s="22" t="str">
        <f t="shared" si="93"/>
        <v>00</v>
      </c>
      <c r="T77" s="22">
        <f t="shared" si="89"/>
        <v>1900</v>
      </c>
      <c r="U77" s="22">
        <f t="shared" si="89"/>
        <v>1900</v>
      </c>
      <c r="W77" s="22" t="str">
        <f t="shared" si="94"/>
        <v>190000</v>
      </c>
      <c r="X77" s="22" t="str">
        <f t="shared" si="95"/>
        <v>190000</v>
      </c>
    </row>
    <row r="78" spans="2:24">
      <c r="B78" s="144">
        <v>700</v>
      </c>
      <c r="C78" s="145"/>
      <c r="D78" s="146" t="s">
        <v>109</v>
      </c>
      <c r="E78" s="61"/>
      <c r="F78" s="62">
        <f>G70</f>
        <v>46165</v>
      </c>
      <c r="G78" s="62">
        <f>MAX(G79:G83)</f>
        <v>46165</v>
      </c>
      <c r="H78" s="63">
        <f t="shared" ref="H78:H84" ca="1" si="96">IF(I78="Finished","",G78-$G$3)</f>
        <v>38</v>
      </c>
      <c r="I78" s="62" t="s">
        <v>10</v>
      </c>
      <c r="J78" s="84"/>
      <c r="K78" s="54"/>
      <c r="P78" s="57">
        <f t="shared" si="87"/>
        <v>20</v>
      </c>
      <c r="Q78" s="22" t="str">
        <f t="shared" si="92"/>
        <v>20</v>
      </c>
      <c r="R78" s="57">
        <f t="shared" si="88"/>
        <v>20</v>
      </c>
      <c r="S78" s="22" t="str">
        <f t="shared" si="93"/>
        <v>20</v>
      </c>
      <c r="T78" s="22">
        <f t="shared" si="89"/>
        <v>2026</v>
      </c>
      <c r="U78" s="22">
        <f t="shared" si="89"/>
        <v>2026</v>
      </c>
      <c r="W78" s="22" t="str">
        <f t="shared" si="94"/>
        <v>202620</v>
      </c>
      <c r="X78" s="22" t="str">
        <f t="shared" si="95"/>
        <v>202620</v>
      </c>
    </row>
    <row r="79" spans="2:24" outlineLevel="1">
      <c r="B79" s="147">
        <f>IF(C79&lt;&gt;"","",MAX($B$16:B78)+1)</f>
        <v>701</v>
      </c>
      <c r="C79" s="148"/>
      <c r="D79" s="149" t="s">
        <v>110</v>
      </c>
      <c r="E79" s="11" t="s">
        <v>122</v>
      </c>
      <c r="F79" s="93">
        <v>46105</v>
      </c>
      <c r="G79" s="93">
        <f t="shared" ref="G79:G84" si="97">F79+60</f>
        <v>46165</v>
      </c>
      <c r="H79" s="13">
        <f t="shared" ca="1" si="96"/>
        <v>38</v>
      </c>
      <c r="I79" s="11" t="s">
        <v>10</v>
      </c>
      <c r="J79" s="76"/>
      <c r="K79" s="54"/>
      <c r="P79" s="57">
        <f t="shared" si="87"/>
        <v>12</v>
      </c>
      <c r="Q79" s="22" t="str">
        <f t="shared" si="92"/>
        <v>12</v>
      </c>
      <c r="R79" s="57">
        <f t="shared" si="88"/>
        <v>20</v>
      </c>
      <c r="S79" s="22" t="str">
        <f t="shared" si="93"/>
        <v>20</v>
      </c>
      <c r="T79" s="22">
        <f t="shared" si="89"/>
        <v>2026</v>
      </c>
      <c r="U79" s="22">
        <f t="shared" si="89"/>
        <v>2026</v>
      </c>
      <c r="W79" s="22" t="str">
        <f t="shared" si="94"/>
        <v>202612</v>
      </c>
      <c r="X79" s="22" t="str">
        <f t="shared" si="95"/>
        <v>202620</v>
      </c>
    </row>
    <row r="80" spans="2:24" outlineLevel="1">
      <c r="B80" s="147">
        <f>IF(C80&lt;&gt;"","",MAX($B$16:B79)+1)</f>
        <v>702</v>
      </c>
      <c r="C80" s="148"/>
      <c r="D80" s="149" t="s">
        <v>111</v>
      </c>
      <c r="E80" s="11" t="s">
        <v>124</v>
      </c>
      <c r="F80" s="93">
        <v>46105</v>
      </c>
      <c r="G80" s="93">
        <f t="shared" si="97"/>
        <v>46165</v>
      </c>
      <c r="H80" s="13">
        <f t="shared" ca="1" si="96"/>
        <v>38</v>
      </c>
      <c r="I80" s="11" t="s">
        <v>10</v>
      </c>
      <c r="J80" s="76"/>
      <c r="K80" s="54"/>
      <c r="P80" s="57">
        <f t="shared" si="87"/>
        <v>12</v>
      </c>
      <c r="Q80" s="22" t="str">
        <f>TEXT(P80,"00")</f>
        <v>12</v>
      </c>
      <c r="R80" s="57">
        <f t="shared" si="88"/>
        <v>20</v>
      </c>
      <c r="S80" s="22" t="str">
        <f>TEXT(R80,"00")</f>
        <v>20</v>
      </c>
      <c r="T80" s="22">
        <f t="shared" si="89"/>
        <v>2026</v>
      </c>
      <c r="U80" s="22">
        <f t="shared" si="89"/>
        <v>2026</v>
      </c>
      <c r="W80" s="22" t="str">
        <f>T80&amp;Q80</f>
        <v>202612</v>
      </c>
      <c r="X80" s="22" t="str">
        <f>U80&amp;S80</f>
        <v>202620</v>
      </c>
    </row>
    <row r="81" spans="2:24" outlineLevel="1">
      <c r="B81" s="147">
        <f>IF(C81&lt;&gt;"","",MAX($B$16:B80)+1)</f>
        <v>703</v>
      </c>
      <c r="C81" s="148"/>
      <c r="D81" s="150" t="s">
        <v>112</v>
      </c>
      <c r="E81" s="11" t="s">
        <v>37</v>
      </c>
      <c r="F81" s="93">
        <v>46105</v>
      </c>
      <c r="G81" s="93">
        <f t="shared" si="97"/>
        <v>46165</v>
      </c>
      <c r="H81" s="13">
        <f t="shared" ca="1" si="96"/>
        <v>38</v>
      </c>
      <c r="I81" s="11" t="s">
        <v>10</v>
      </c>
      <c r="J81" s="76"/>
      <c r="K81" s="54"/>
      <c r="P81" s="57">
        <f t="shared" si="87"/>
        <v>12</v>
      </c>
      <c r="Q81" s="22" t="str">
        <f t="shared" ref="Q81:Q83" si="98">TEXT(P81,"00")</f>
        <v>12</v>
      </c>
      <c r="R81" s="57">
        <f t="shared" si="88"/>
        <v>20</v>
      </c>
      <c r="S81" s="22" t="str">
        <f t="shared" ref="S81:S83" si="99">TEXT(R81,"00")</f>
        <v>20</v>
      </c>
      <c r="T81" s="22">
        <f t="shared" si="89"/>
        <v>2026</v>
      </c>
      <c r="U81" s="22">
        <f t="shared" si="89"/>
        <v>2026</v>
      </c>
      <c r="W81" s="22" t="str">
        <f t="shared" ref="W81:W83" si="100">T81&amp;Q81</f>
        <v>202612</v>
      </c>
      <c r="X81" s="22" t="str">
        <f t="shared" ref="X81:X83" si="101">U81&amp;S81</f>
        <v>202620</v>
      </c>
    </row>
    <row r="82" spans="2:24" outlineLevel="1">
      <c r="B82" s="147">
        <f>IF(C82&lt;&gt;"","",MAX($B$16:B81)+1)</f>
        <v>704</v>
      </c>
      <c r="C82" s="148"/>
      <c r="D82" s="150" t="s">
        <v>113</v>
      </c>
      <c r="E82" s="11" t="s">
        <v>37</v>
      </c>
      <c r="F82" s="93">
        <v>46105</v>
      </c>
      <c r="G82" s="93">
        <f t="shared" si="97"/>
        <v>46165</v>
      </c>
      <c r="H82" s="13">
        <f t="shared" ca="1" si="96"/>
        <v>38</v>
      </c>
      <c r="I82" s="11" t="s">
        <v>10</v>
      </c>
      <c r="J82" s="76"/>
      <c r="K82" s="54"/>
      <c r="P82" s="57">
        <f t="shared" si="87"/>
        <v>12</v>
      </c>
      <c r="Q82" s="22" t="str">
        <f t="shared" si="98"/>
        <v>12</v>
      </c>
      <c r="R82" s="57">
        <f t="shared" si="88"/>
        <v>20</v>
      </c>
      <c r="S82" s="22" t="str">
        <f t="shared" si="99"/>
        <v>20</v>
      </c>
      <c r="T82" s="22">
        <f t="shared" si="89"/>
        <v>2026</v>
      </c>
      <c r="U82" s="22">
        <f t="shared" si="89"/>
        <v>2026</v>
      </c>
      <c r="W82" s="22" t="str">
        <f t="shared" si="100"/>
        <v>202612</v>
      </c>
      <c r="X82" s="22" t="str">
        <f t="shared" si="101"/>
        <v>202620</v>
      </c>
    </row>
    <row r="83" spans="2:24" outlineLevel="1">
      <c r="B83" s="147">
        <f>IF(C83&lt;&gt;"","",MAX($B$16:B82)+1)</f>
        <v>705</v>
      </c>
      <c r="C83" s="148"/>
      <c r="D83" s="150" t="s">
        <v>114</v>
      </c>
      <c r="E83" s="11" t="s">
        <v>37</v>
      </c>
      <c r="F83" s="93">
        <v>46105</v>
      </c>
      <c r="G83" s="93">
        <f t="shared" si="97"/>
        <v>46165</v>
      </c>
      <c r="H83" s="13">
        <f t="shared" ca="1" si="96"/>
        <v>38</v>
      </c>
      <c r="I83" s="11" t="s">
        <v>10</v>
      </c>
      <c r="J83" s="76"/>
      <c r="K83" s="54"/>
      <c r="P83" s="57">
        <f t="shared" si="87"/>
        <v>12</v>
      </c>
      <c r="Q83" s="22" t="str">
        <f t="shared" si="98"/>
        <v>12</v>
      </c>
      <c r="R83" s="57">
        <f t="shared" si="88"/>
        <v>20</v>
      </c>
      <c r="S83" s="22" t="str">
        <f t="shared" si="99"/>
        <v>20</v>
      </c>
      <c r="T83" s="22">
        <f t="shared" si="89"/>
        <v>2026</v>
      </c>
      <c r="U83" s="22">
        <f t="shared" si="89"/>
        <v>2026</v>
      </c>
      <c r="W83" s="22" t="str">
        <f t="shared" si="100"/>
        <v>202612</v>
      </c>
      <c r="X83" s="22" t="str">
        <f t="shared" si="101"/>
        <v>202620</v>
      </c>
    </row>
    <row r="84" spans="2:24" outlineLevel="1">
      <c r="B84" s="147">
        <f>IF(C84&lt;&gt;"","",MAX($B$16:B83)+1)</f>
        <v>706</v>
      </c>
      <c r="C84" s="148"/>
      <c r="D84" s="150" t="s">
        <v>115</v>
      </c>
      <c r="E84" s="11" t="s">
        <v>37</v>
      </c>
      <c r="F84" s="93">
        <v>46105</v>
      </c>
      <c r="G84" s="93">
        <f t="shared" si="97"/>
        <v>46165</v>
      </c>
      <c r="H84" s="13">
        <f t="shared" ca="1" si="96"/>
        <v>38</v>
      </c>
      <c r="I84" s="11" t="s">
        <v>10</v>
      </c>
      <c r="J84" s="76"/>
      <c r="K84" s="54"/>
      <c r="P84" s="22">
        <f t="shared" si="87"/>
        <v>12</v>
      </c>
      <c r="Q84" s="22" t="str">
        <f t="shared" si="92"/>
        <v>12</v>
      </c>
      <c r="R84" s="22">
        <f t="shared" si="88"/>
        <v>20</v>
      </c>
      <c r="S84" s="22" t="str">
        <f t="shared" si="93"/>
        <v>20</v>
      </c>
      <c r="T84" s="22">
        <f t="shared" si="89"/>
        <v>2026</v>
      </c>
      <c r="U84" s="22">
        <f t="shared" si="89"/>
        <v>2026</v>
      </c>
      <c r="W84" s="22" t="str">
        <f t="shared" si="94"/>
        <v>202612</v>
      </c>
      <c r="X84" s="22" t="str">
        <f t="shared" si="95"/>
        <v>202620</v>
      </c>
    </row>
    <row r="85" spans="2:24">
      <c r="B85" s="22"/>
      <c r="C85" s="22"/>
      <c r="E85" s="54"/>
      <c r="F85" s="77"/>
      <c r="G85" s="77"/>
      <c r="H85" s="78"/>
      <c r="I85" s="54"/>
      <c r="J85" s="39"/>
      <c r="K85" s="54"/>
      <c r="P85" s="22">
        <f t="shared" si="87"/>
        <v>0</v>
      </c>
      <c r="Q85" s="22" t="str">
        <f t="shared" si="92"/>
        <v>00</v>
      </c>
      <c r="R85" s="22">
        <f t="shared" si="88"/>
        <v>0</v>
      </c>
      <c r="S85" s="22" t="str">
        <f t="shared" si="93"/>
        <v>00</v>
      </c>
      <c r="T85" s="22">
        <f t="shared" ref="T85:U95" si="102">YEAR(F85)</f>
        <v>1900</v>
      </c>
      <c r="U85" s="22">
        <f t="shared" si="102"/>
        <v>1900</v>
      </c>
      <c r="W85" s="22" t="str">
        <f t="shared" si="94"/>
        <v>190000</v>
      </c>
      <c r="X85" s="22" t="str">
        <f t="shared" si="95"/>
        <v>190000</v>
      </c>
    </row>
    <row r="86" spans="2:24">
      <c r="B86" s="22"/>
      <c r="C86" s="22"/>
      <c r="E86" s="54"/>
      <c r="F86" s="77"/>
      <c r="G86" s="77"/>
      <c r="H86" s="78"/>
      <c r="I86" s="54"/>
      <c r="J86" s="39"/>
      <c r="K86" s="54"/>
      <c r="P86" s="22">
        <f t="shared" si="87"/>
        <v>0</v>
      </c>
      <c r="Q86" s="22" t="str">
        <f t="shared" si="92"/>
        <v>00</v>
      </c>
      <c r="R86" s="22">
        <f t="shared" si="88"/>
        <v>0</v>
      </c>
      <c r="S86" s="22" t="str">
        <f t="shared" si="93"/>
        <v>00</v>
      </c>
      <c r="T86" s="22">
        <f t="shared" si="102"/>
        <v>1900</v>
      </c>
      <c r="U86" s="22">
        <f t="shared" si="102"/>
        <v>1900</v>
      </c>
      <c r="W86" s="22" t="str">
        <f t="shared" si="94"/>
        <v>190000</v>
      </c>
      <c r="X86" s="22" t="str">
        <f t="shared" si="95"/>
        <v>190000</v>
      </c>
    </row>
    <row r="87" spans="2:24">
      <c r="B87" s="22"/>
      <c r="C87" s="22"/>
      <c r="F87" s="77"/>
      <c r="G87" s="77"/>
      <c r="H87" s="78"/>
      <c r="I87" s="54"/>
      <c r="J87" s="39"/>
      <c r="K87" s="54"/>
      <c r="P87" s="22">
        <f t="shared" si="87"/>
        <v>0</v>
      </c>
      <c r="Q87" s="22" t="str">
        <f t="shared" si="92"/>
        <v>00</v>
      </c>
      <c r="R87" s="22">
        <f t="shared" si="88"/>
        <v>0</v>
      </c>
      <c r="S87" s="22" t="str">
        <f t="shared" si="93"/>
        <v>00</v>
      </c>
      <c r="T87" s="22">
        <f t="shared" si="102"/>
        <v>1900</v>
      </c>
      <c r="U87" s="22">
        <f t="shared" si="102"/>
        <v>1900</v>
      </c>
      <c r="W87" s="22" t="str">
        <f t="shared" si="94"/>
        <v>190000</v>
      </c>
      <c r="X87" s="22" t="str">
        <f t="shared" si="95"/>
        <v>190000</v>
      </c>
    </row>
    <row r="88" spans="2:24">
      <c r="B88" s="22"/>
      <c r="C88" s="22"/>
      <c r="E88" s="54"/>
      <c r="F88" s="77"/>
      <c r="G88" s="77"/>
      <c r="H88" s="78"/>
      <c r="I88" s="54"/>
      <c r="J88" s="39"/>
      <c r="K88" s="54"/>
      <c r="P88" s="22">
        <f t="shared" si="87"/>
        <v>0</v>
      </c>
      <c r="Q88" s="22" t="str">
        <f t="shared" si="92"/>
        <v>00</v>
      </c>
      <c r="R88" s="22">
        <f t="shared" si="88"/>
        <v>0</v>
      </c>
      <c r="S88" s="22" t="str">
        <f t="shared" si="93"/>
        <v>00</v>
      </c>
      <c r="T88" s="22">
        <f t="shared" si="102"/>
        <v>1900</v>
      </c>
      <c r="U88" s="22">
        <f t="shared" si="102"/>
        <v>1900</v>
      </c>
      <c r="W88" s="22" t="str">
        <f t="shared" si="94"/>
        <v>190000</v>
      </c>
      <c r="X88" s="22" t="str">
        <f t="shared" si="95"/>
        <v>190000</v>
      </c>
    </row>
    <row r="89" spans="2:24">
      <c r="B89" s="22"/>
      <c r="C89" s="22"/>
      <c r="E89" s="54"/>
      <c r="F89" s="77"/>
      <c r="G89" s="77"/>
      <c r="H89" s="78"/>
      <c r="I89" s="54"/>
      <c r="J89" s="39"/>
      <c r="K89" s="54"/>
      <c r="P89" s="22">
        <f t="shared" si="87"/>
        <v>0</v>
      </c>
      <c r="Q89" s="22" t="str">
        <f t="shared" si="92"/>
        <v>00</v>
      </c>
      <c r="R89" s="22">
        <f t="shared" si="88"/>
        <v>0</v>
      </c>
      <c r="S89" s="22" t="str">
        <f t="shared" si="93"/>
        <v>00</v>
      </c>
      <c r="T89" s="22">
        <f t="shared" si="102"/>
        <v>1900</v>
      </c>
      <c r="U89" s="22">
        <f t="shared" si="102"/>
        <v>1900</v>
      </c>
      <c r="W89" s="22" t="str">
        <f t="shared" si="94"/>
        <v>190000</v>
      </c>
      <c r="X89" s="22" t="str">
        <f t="shared" si="95"/>
        <v>190000</v>
      </c>
    </row>
    <row r="90" spans="2:24">
      <c r="B90" s="22"/>
      <c r="C90" s="22"/>
      <c r="E90" s="54"/>
      <c r="F90" s="77"/>
      <c r="G90" s="77"/>
      <c r="H90" s="78"/>
      <c r="I90" s="54"/>
      <c r="J90" s="39"/>
      <c r="K90" s="54"/>
      <c r="P90" s="22">
        <f t="shared" si="87"/>
        <v>0</v>
      </c>
      <c r="Q90" s="22" t="str">
        <f t="shared" si="92"/>
        <v>00</v>
      </c>
      <c r="R90" s="22">
        <f t="shared" si="88"/>
        <v>0</v>
      </c>
      <c r="S90" s="22" t="str">
        <f t="shared" si="93"/>
        <v>00</v>
      </c>
      <c r="T90" s="22">
        <f t="shared" si="102"/>
        <v>1900</v>
      </c>
      <c r="U90" s="22">
        <f t="shared" si="102"/>
        <v>1900</v>
      </c>
      <c r="W90" s="22" t="str">
        <f t="shared" si="94"/>
        <v>190000</v>
      </c>
      <c r="X90" s="22" t="str">
        <f t="shared" si="95"/>
        <v>190000</v>
      </c>
    </row>
    <row r="91" spans="2:24">
      <c r="B91" s="22"/>
      <c r="C91" s="22"/>
      <c r="E91" s="54"/>
      <c r="F91" s="77"/>
      <c r="G91" s="77"/>
      <c r="H91" s="78"/>
      <c r="I91" s="54"/>
      <c r="J91" s="39"/>
      <c r="K91" s="54"/>
      <c r="P91" s="22">
        <f t="shared" si="87"/>
        <v>0</v>
      </c>
      <c r="Q91" s="22" t="str">
        <f t="shared" si="92"/>
        <v>00</v>
      </c>
      <c r="R91" s="22">
        <f t="shared" si="88"/>
        <v>0</v>
      </c>
      <c r="S91" s="22" t="str">
        <f t="shared" si="93"/>
        <v>00</v>
      </c>
      <c r="T91" s="22">
        <f t="shared" si="102"/>
        <v>1900</v>
      </c>
      <c r="U91" s="22">
        <f t="shared" si="102"/>
        <v>1900</v>
      </c>
      <c r="W91" s="22" t="str">
        <f t="shared" si="94"/>
        <v>190000</v>
      </c>
      <c r="X91" s="22" t="str">
        <f t="shared" si="95"/>
        <v>190000</v>
      </c>
    </row>
    <row r="92" spans="2:24">
      <c r="B92" s="22"/>
      <c r="C92" s="22"/>
      <c r="D92" s="77"/>
      <c r="E92" s="54"/>
      <c r="F92" s="77"/>
      <c r="G92" s="77"/>
      <c r="H92" s="78"/>
      <c r="I92" s="54"/>
      <c r="J92" s="39"/>
      <c r="K92" s="54"/>
      <c r="P92" s="22">
        <f t="shared" si="87"/>
        <v>0</v>
      </c>
      <c r="Q92" s="22" t="str">
        <f t="shared" si="92"/>
        <v>00</v>
      </c>
      <c r="R92" s="22">
        <f t="shared" si="88"/>
        <v>0</v>
      </c>
      <c r="S92" s="22" t="str">
        <f t="shared" si="93"/>
        <v>00</v>
      </c>
      <c r="T92" s="22">
        <f t="shared" si="102"/>
        <v>1900</v>
      </c>
      <c r="U92" s="22">
        <f t="shared" si="102"/>
        <v>1900</v>
      </c>
      <c r="W92" s="22" t="str">
        <f t="shared" si="94"/>
        <v>190000</v>
      </c>
      <c r="X92" s="22" t="str">
        <f t="shared" si="95"/>
        <v>190000</v>
      </c>
    </row>
    <row r="93" spans="2:24">
      <c r="B93" s="22"/>
      <c r="C93" s="22"/>
      <c r="D93" s="77"/>
      <c r="E93" s="54"/>
      <c r="F93" s="77"/>
      <c r="G93" s="77"/>
      <c r="H93" s="78"/>
      <c r="I93" s="54"/>
      <c r="J93" s="39"/>
      <c r="K93" s="54"/>
      <c r="P93" s="22">
        <f t="shared" si="87"/>
        <v>0</v>
      </c>
      <c r="Q93" s="22" t="str">
        <f t="shared" si="92"/>
        <v>00</v>
      </c>
      <c r="R93" s="22">
        <f t="shared" si="88"/>
        <v>0</v>
      </c>
      <c r="S93" s="22" t="str">
        <f t="shared" si="93"/>
        <v>00</v>
      </c>
      <c r="T93" s="22">
        <f t="shared" si="102"/>
        <v>1900</v>
      </c>
      <c r="U93" s="22">
        <f t="shared" si="102"/>
        <v>1900</v>
      </c>
      <c r="W93" s="22" t="str">
        <f t="shared" si="94"/>
        <v>190000</v>
      </c>
      <c r="X93" s="22" t="str">
        <f t="shared" si="95"/>
        <v>190000</v>
      </c>
    </row>
    <row r="94" spans="2:24">
      <c r="B94" s="22"/>
      <c r="C94" s="22"/>
      <c r="D94" s="77"/>
      <c r="E94" s="54"/>
      <c r="F94" s="77"/>
      <c r="G94" s="77"/>
      <c r="H94" s="78"/>
      <c r="I94" s="54"/>
      <c r="J94" s="39"/>
      <c r="K94" s="54"/>
      <c r="P94" s="22">
        <f t="shared" si="87"/>
        <v>0</v>
      </c>
      <c r="Q94" s="22" t="str">
        <f t="shared" si="92"/>
        <v>00</v>
      </c>
      <c r="R94" s="22">
        <f t="shared" si="88"/>
        <v>0</v>
      </c>
      <c r="S94" s="22" t="str">
        <f t="shared" si="93"/>
        <v>00</v>
      </c>
      <c r="T94" s="22">
        <f t="shared" si="102"/>
        <v>1900</v>
      </c>
      <c r="U94" s="22">
        <f t="shared" si="102"/>
        <v>1900</v>
      </c>
      <c r="W94" s="22" t="str">
        <f t="shared" si="94"/>
        <v>190000</v>
      </c>
      <c r="X94" s="22" t="str">
        <f t="shared" si="95"/>
        <v>190000</v>
      </c>
    </row>
    <row r="95" spans="2:24">
      <c r="B95" s="22"/>
      <c r="C95" s="22"/>
      <c r="D95" s="77"/>
      <c r="E95" s="54"/>
      <c r="F95" s="77"/>
      <c r="G95" s="77"/>
      <c r="H95" s="78"/>
      <c r="I95" s="54"/>
      <c r="J95" s="39"/>
      <c r="K95" s="54"/>
      <c r="P95" s="22">
        <f t="shared" si="87"/>
        <v>0</v>
      </c>
      <c r="Q95" s="22" t="str">
        <f t="shared" si="92"/>
        <v>00</v>
      </c>
      <c r="R95" s="22">
        <f t="shared" si="88"/>
        <v>0</v>
      </c>
      <c r="S95" s="22" t="str">
        <f t="shared" si="93"/>
        <v>00</v>
      </c>
      <c r="T95" s="22">
        <f t="shared" si="102"/>
        <v>1900</v>
      </c>
      <c r="U95" s="22">
        <f t="shared" si="102"/>
        <v>1900</v>
      </c>
      <c r="W95" s="22" t="str">
        <f t="shared" si="94"/>
        <v>190000</v>
      </c>
      <c r="X95" s="22" t="str">
        <f t="shared" si="95"/>
        <v>190000</v>
      </c>
    </row>
    <row r="96" spans="2:24">
      <c r="B96" s="22"/>
      <c r="C96" s="22"/>
      <c r="D96" s="77"/>
      <c r="E96" s="54"/>
      <c r="F96" s="77"/>
      <c r="G96" s="77"/>
      <c r="H96" s="78"/>
      <c r="I96" s="54"/>
      <c r="J96" s="39"/>
      <c r="K96" s="54"/>
      <c r="P96" s="22">
        <f t="shared" si="87"/>
        <v>0</v>
      </c>
      <c r="Q96" s="22" t="str">
        <f t="shared" si="92"/>
        <v>00</v>
      </c>
      <c r="R96" s="22">
        <f t="shared" si="88"/>
        <v>0</v>
      </c>
      <c r="S96" s="22" t="str">
        <f t="shared" si="93"/>
        <v>00</v>
      </c>
      <c r="T96" s="22">
        <f t="shared" ref="T96:U147" si="103">YEAR(F96)</f>
        <v>1900</v>
      </c>
      <c r="U96" s="22">
        <f t="shared" si="103"/>
        <v>1900</v>
      </c>
      <c r="W96" s="22" t="str">
        <f t="shared" si="94"/>
        <v>190000</v>
      </c>
      <c r="X96" s="22" t="str">
        <f t="shared" si="95"/>
        <v>190000</v>
      </c>
    </row>
    <row r="97" spans="2:24">
      <c r="B97" s="22"/>
      <c r="C97" s="22"/>
      <c r="D97" s="77"/>
      <c r="E97" s="54"/>
      <c r="F97" s="77"/>
      <c r="G97" s="77"/>
      <c r="H97" s="78"/>
      <c r="I97" s="54"/>
      <c r="J97" s="39"/>
      <c r="K97" s="54"/>
      <c r="P97" s="22">
        <f t="shared" si="87"/>
        <v>0</v>
      </c>
      <c r="Q97" s="22" t="str">
        <f t="shared" si="92"/>
        <v>00</v>
      </c>
      <c r="R97" s="22">
        <f t="shared" si="88"/>
        <v>0</v>
      </c>
      <c r="S97" s="22" t="str">
        <f t="shared" si="93"/>
        <v>00</v>
      </c>
      <c r="T97" s="22">
        <f t="shared" si="103"/>
        <v>1900</v>
      </c>
      <c r="U97" s="22">
        <f t="shared" si="103"/>
        <v>1900</v>
      </c>
      <c r="W97" s="22" t="str">
        <f t="shared" si="94"/>
        <v>190000</v>
      </c>
      <c r="X97" s="22" t="str">
        <f t="shared" si="95"/>
        <v>190000</v>
      </c>
    </row>
    <row r="98" spans="2:24">
      <c r="B98" s="22"/>
      <c r="C98" s="22"/>
      <c r="D98" s="77"/>
      <c r="E98" s="54"/>
      <c r="F98" s="77"/>
      <c r="G98" s="77"/>
      <c r="H98" s="78"/>
      <c r="I98" s="54"/>
      <c r="J98" s="39"/>
      <c r="K98" s="54"/>
      <c r="P98" s="22">
        <f t="shared" si="87"/>
        <v>0</v>
      </c>
      <c r="Q98" s="22" t="str">
        <f t="shared" si="92"/>
        <v>00</v>
      </c>
      <c r="R98" s="22">
        <f t="shared" si="88"/>
        <v>0</v>
      </c>
      <c r="S98" s="22" t="str">
        <f t="shared" si="93"/>
        <v>00</v>
      </c>
      <c r="T98" s="22">
        <f t="shared" si="103"/>
        <v>1900</v>
      </c>
      <c r="U98" s="22">
        <f t="shared" si="103"/>
        <v>1900</v>
      </c>
      <c r="W98" s="22" t="str">
        <f t="shared" si="94"/>
        <v>190000</v>
      </c>
      <c r="X98" s="22" t="str">
        <f t="shared" si="95"/>
        <v>190000</v>
      </c>
    </row>
    <row r="99" spans="2:24">
      <c r="B99" s="22"/>
      <c r="C99" s="22"/>
      <c r="D99" s="77"/>
      <c r="E99" s="54"/>
      <c r="F99" s="77"/>
      <c r="G99" s="77"/>
      <c r="H99" s="78"/>
      <c r="I99" s="54"/>
      <c r="J99" s="39"/>
      <c r="K99" s="54"/>
      <c r="P99" s="22">
        <f t="shared" si="87"/>
        <v>0</v>
      </c>
      <c r="Q99" s="22" t="str">
        <f t="shared" si="92"/>
        <v>00</v>
      </c>
      <c r="R99" s="22">
        <f t="shared" si="88"/>
        <v>0</v>
      </c>
      <c r="S99" s="22" t="str">
        <f t="shared" si="93"/>
        <v>00</v>
      </c>
      <c r="T99" s="22">
        <f t="shared" si="103"/>
        <v>1900</v>
      </c>
      <c r="U99" s="22">
        <f t="shared" si="103"/>
        <v>1900</v>
      </c>
      <c r="W99" s="22" t="str">
        <f t="shared" si="94"/>
        <v>190000</v>
      </c>
      <c r="X99" s="22" t="str">
        <f t="shared" si="95"/>
        <v>190000</v>
      </c>
    </row>
    <row r="100" spans="2:24">
      <c r="B100" s="22"/>
      <c r="C100" s="22"/>
      <c r="D100" s="77"/>
      <c r="E100" s="54"/>
      <c r="F100" s="77"/>
      <c r="G100" s="77"/>
      <c r="H100" s="78"/>
      <c r="I100" s="54"/>
      <c r="J100" s="39"/>
      <c r="K100" s="54"/>
      <c r="P100" s="22">
        <f t="shared" si="87"/>
        <v>0</v>
      </c>
      <c r="Q100" s="22" t="str">
        <f t="shared" si="92"/>
        <v>00</v>
      </c>
      <c r="R100" s="22">
        <f t="shared" si="88"/>
        <v>0</v>
      </c>
      <c r="S100" s="22" t="str">
        <f t="shared" si="93"/>
        <v>00</v>
      </c>
      <c r="T100" s="22">
        <f t="shared" si="103"/>
        <v>1900</v>
      </c>
      <c r="U100" s="22">
        <f t="shared" si="103"/>
        <v>1900</v>
      </c>
      <c r="W100" s="22" t="str">
        <f t="shared" si="94"/>
        <v>190000</v>
      </c>
      <c r="X100" s="22" t="str">
        <f t="shared" si="95"/>
        <v>190000</v>
      </c>
    </row>
    <row r="101" spans="2:24">
      <c r="B101" s="22"/>
      <c r="C101" s="22"/>
      <c r="D101" s="77"/>
      <c r="E101" s="54"/>
      <c r="F101" s="77"/>
      <c r="G101" s="77"/>
      <c r="H101" s="78"/>
      <c r="I101" s="54"/>
      <c r="J101" s="39"/>
      <c r="K101" s="54"/>
      <c r="P101" s="22">
        <f t="shared" si="87"/>
        <v>0</v>
      </c>
      <c r="Q101" s="22" t="str">
        <f t="shared" si="92"/>
        <v>00</v>
      </c>
      <c r="R101" s="22">
        <f t="shared" si="88"/>
        <v>0</v>
      </c>
      <c r="S101" s="22" t="str">
        <f t="shared" si="93"/>
        <v>00</v>
      </c>
      <c r="T101" s="22">
        <f t="shared" si="103"/>
        <v>1900</v>
      </c>
      <c r="U101" s="22">
        <f t="shared" si="103"/>
        <v>1900</v>
      </c>
      <c r="W101" s="22" t="str">
        <f t="shared" si="94"/>
        <v>190000</v>
      </c>
      <c r="X101" s="22" t="str">
        <f t="shared" si="95"/>
        <v>190000</v>
      </c>
    </row>
    <row r="102" spans="2:24">
      <c r="B102" s="22"/>
      <c r="C102" s="22"/>
      <c r="D102" s="77"/>
      <c r="E102" s="54"/>
      <c r="F102" s="77"/>
      <c r="G102" s="77"/>
      <c r="H102" s="78"/>
      <c r="I102" s="54"/>
      <c r="J102" s="39"/>
      <c r="K102" s="54"/>
      <c r="P102" s="22">
        <f t="shared" si="87"/>
        <v>0</v>
      </c>
      <c r="Q102" s="22" t="str">
        <f t="shared" si="92"/>
        <v>00</v>
      </c>
      <c r="R102" s="22">
        <f t="shared" si="88"/>
        <v>0</v>
      </c>
      <c r="S102" s="22" t="str">
        <f t="shared" si="93"/>
        <v>00</v>
      </c>
      <c r="T102" s="22">
        <f t="shared" si="103"/>
        <v>1900</v>
      </c>
      <c r="U102" s="22">
        <f t="shared" si="103"/>
        <v>1900</v>
      </c>
      <c r="W102" s="22" t="str">
        <f t="shared" si="94"/>
        <v>190000</v>
      </c>
      <c r="X102" s="22" t="str">
        <f t="shared" si="95"/>
        <v>190000</v>
      </c>
    </row>
    <row r="103" spans="2:24">
      <c r="B103" s="22"/>
      <c r="C103" s="22"/>
      <c r="D103" s="77"/>
      <c r="E103" s="54"/>
      <c r="F103" s="77"/>
      <c r="G103" s="77"/>
      <c r="H103" s="78"/>
      <c r="I103" s="54"/>
      <c r="J103" s="39"/>
      <c r="K103" s="54"/>
      <c r="P103" s="22">
        <f t="shared" si="87"/>
        <v>0</v>
      </c>
      <c r="Q103" s="22" t="str">
        <f t="shared" si="92"/>
        <v>00</v>
      </c>
      <c r="R103" s="22">
        <f t="shared" si="88"/>
        <v>0</v>
      </c>
      <c r="S103" s="22" t="str">
        <f t="shared" si="93"/>
        <v>00</v>
      </c>
      <c r="T103" s="22">
        <f t="shared" si="103"/>
        <v>1900</v>
      </c>
      <c r="U103" s="22">
        <f t="shared" si="103"/>
        <v>1900</v>
      </c>
      <c r="W103" s="22" t="str">
        <f t="shared" si="94"/>
        <v>190000</v>
      </c>
      <c r="X103" s="22" t="str">
        <f t="shared" si="95"/>
        <v>190000</v>
      </c>
    </row>
    <row r="104" spans="2:24">
      <c r="B104" s="22"/>
      <c r="C104" s="22"/>
      <c r="D104" s="77"/>
      <c r="E104" s="54"/>
      <c r="F104" s="77"/>
      <c r="G104" s="77"/>
      <c r="H104" s="78"/>
      <c r="I104" s="54"/>
      <c r="J104" s="39"/>
      <c r="K104" s="54"/>
      <c r="P104" s="22">
        <f t="shared" si="87"/>
        <v>0</v>
      </c>
      <c r="Q104" s="22" t="str">
        <f t="shared" si="92"/>
        <v>00</v>
      </c>
      <c r="R104" s="22">
        <f t="shared" si="88"/>
        <v>0</v>
      </c>
      <c r="S104" s="22" t="str">
        <f t="shared" si="93"/>
        <v>00</v>
      </c>
      <c r="T104" s="22">
        <f t="shared" si="103"/>
        <v>1900</v>
      </c>
      <c r="U104" s="22">
        <f t="shared" si="103"/>
        <v>1900</v>
      </c>
      <c r="W104" s="22" t="str">
        <f t="shared" si="94"/>
        <v>190000</v>
      </c>
      <c r="X104" s="22" t="str">
        <f t="shared" si="95"/>
        <v>190000</v>
      </c>
    </row>
    <row r="105" spans="2:24">
      <c r="B105" s="22"/>
      <c r="C105" s="22"/>
      <c r="D105" s="77"/>
      <c r="E105" s="54"/>
      <c r="F105" s="77"/>
      <c r="G105" s="77"/>
      <c r="H105" s="78"/>
      <c r="I105" s="54"/>
      <c r="J105" s="39"/>
      <c r="K105" s="54"/>
      <c r="P105" s="22">
        <f t="shared" si="87"/>
        <v>0</v>
      </c>
      <c r="Q105" s="22" t="str">
        <f t="shared" si="92"/>
        <v>00</v>
      </c>
      <c r="R105" s="22">
        <f t="shared" si="88"/>
        <v>0</v>
      </c>
      <c r="S105" s="22" t="str">
        <f t="shared" si="93"/>
        <v>00</v>
      </c>
      <c r="T105" s="22">
        <f t="shared" si="103"/>
        <v>1900</v>
      </c>
      <c r="U105" s="22">
        <f t="shared" si="103"/>
        <v>1900</v>
      </c>
      <c r="W105" s="22" t="str">
        <f t="shared" si="94"/>
        <v>190000</v>
      </c>
      <c r="X105" s="22" t="str">
        <f t="shared" si="95"/>
        <v>190000</v>
      </c>
    </row>
    <row r="106" spans="2:24">
      <c r="B106" s="22"/>
      <c r="C106" s="22"/>
      <c r="D106" s="77"/>
      <c r="E106" s="54"/>
      <c r="F106" s="77"/>
      <c r="G106" s="77"/>
      <c r="H106" s="78"/>
      <c r="I106" s="54"/>
      <c r="J106" s="39"/>
      <c r="K106" s="54"/>
      <c r="P106" s="22">
        <f t="shared" si="87"/>
        <v>0</v>
      </c>
      <c r="Q106" s="22" t="str">
        <f t="shared" si="92"/>
        <v>00</v>
      </c>
      <c r="R106" s="22">
        <f t="shared" si="88"/>
        <v>0</v>
      </c>
      <c r="S106" s="22" t="str">
        <f t="shared" si="93"/>
        <v>00</v>
      </c>
      <c r="T106" s="22">
        <f t="shared" si="103"/>
        <v>1900</v>
      </c>
      <c r="U106" s="22">
        <f t="shared" si="103"/>
        <v>1900</v>
      </c>
      <c r="W106" s="22" t="str">
        <f t="shared" si="94"/>
        <v>190000</v>
      </c>
      <c r="X106" s="22" t="str">
        <f t="shared" si="95"/>
        <v>190000</v>
      </c>
    </row>
    <row r="107" spans="2:24">
      <c r="B107" s="22"/>
      <c r="C107" s="22"/>
      <c r="D107" s="77"/>
      <c r="E107" s="54"/>
      <c r="F107" s="77"/>
      <c r="G107" s="77"/>
      <c r="H107" s="78"/>
      <c r="I107" s="54"/>
      <c r="J107" s="39"/>
      <c r="K107" s="54"/>
      <c r="P107" s="22">
        <f t="shared" si="87"/>
        <v>0</v>
      </c>
      <c r="Q107" s="22" t="str">
        <f t="shared" si="92"/>
        <v>00</v>
      </c>
      <c r="R107" s="22">
        <f t="shared" si="88"/>
        <v>0</v>
      </c>
      <c r="S107" s="22" t="str">
        <f t="shared" si="93"/>
        <v>00</v>
      </c>
      <c r="T107" s="22">
        <f t="shared" si="103"/>
        <v>1900</v>
      </c>
      <c r="U107" s="22">
        <f t="shared" si="103"/>
        <v>1900</v>
      </c>
      <c r="W107" s="22" t="str">
        <f t="shared" si="94"/>
        <v>190000</v>
      </c>
      <c r="X107" s="22" t="str">
        <f t="shared" si="95"/>
        <v>190000</v>
      </c>
    </row>
    <row r="108" spans="2:24">
      <c r="B108" s="22"/>
      <c r="C108" s="22"/>
      <c r="D108" s="77"/>
      <c r="E108" s="54"/>
      <c r="F108" s="77"/>
      <c r="G108" s="77"/>
      <c r="H108" s="78"/>
      <c r="I108" s="54"/>
      <c r="J108" s="39"/>
      <c r="K108" s="54"/>
      <c r="P108" s="22">
        <f t="shared" si="87"/>
        <v>0</v>
      </c>
      <c r="Q108" s="22" t="str">
        <f t="shared" si="92"/>
        <v>00</v>
      </c>
      <c r="R108" s="22">
        <f t="shared" si="88"/>
        <v>0</v>
      </c>
      <c r="S108" s="22" t="str">
        <f t="shared" si="93"/>
        <v>00</v>
      </c>
      <c r="T108" s="22">
        <f t="shared" si="103"/>
        <v>1900</v>
      </c>
      <c r="U108" s="22">
        <f t="shared" si="103"/>
        <v>1900</v>
      </c>
      <c r="W108" s="22" t="str">
        <f t="shared" si="94"/>
        <v>190000</v>
      </c>
      <c r="X108" s="22" t="str">
        <f t="shared" si="95"/>
        <v>190000</v>
      </c>
    </row>
    <row r="109" spans="2:24">
      <c r="B109" s="22"/>
      <c r="C109" s="22"/>
      <c r="D109" s="77"/>
      <c r="E109" s="54"/>
      <c r="F109" s="77"/>
      <c r="G109" s="77"/>
      <c r="H109" s="78"/>
      <c r="I109" s="54"/>
      <c r="J109" s="39"/>
      <c r="K109" s="54"/>
      <c r="P109" s="22">
        <f t="shared" si="87"/>
        <v>0</v>
      </c>
      <c r="Q109" s="22" t="str">
        <f t="shared" si="92"/>
        <v>00</v>
      </c>
      <c r="R109" s="22">
        <f t="shared" si="88"/>
        <v>0</v>
      </c>
      <c r="S109" s="22" t="str">
        <f t="shared" si="93"/>
        <v>00</v>
      </c>
      <c r="T109" s="22">
        <f t="shared" si="103"/>
        <v>1900</v>
      </c>
      <c r="U109" s="22">
        <f t="shared" si="103"/>
        <v>1900</v>
      </c>
      <c r="W109" s="22" t="str">
        <f t="shared" si="94"/>
        <v>190000</v>
      </c>
      <c r="X109" s="22" t="str">
        <f t="shared" si="95"/>
        <v>190000</v>
      </c>
    </row>
    <row r="110" spans="2:24">
      <c r="B110" s="22"/>
      <c r="C110" s="22"/>
      <c r="D110" s="77"/>
      <c r="E110" s="54"/>
      <c r="F110" s="77"/>
      <c r="G110" s="77"/>
      <c r="H110" s="78"/>
      <c r="I110" s="54"/>
      <c r="J110" s="39"/>
      <c r="K110" s="54"/>
      <c r="P110" s="22">
        <f t="shared" si="87"/>
        <v>0</v>
      </c>
      <c r="Q110" s="22" t="str">
        <f t="shared" si="92"/>
        <v>00</v>
      </c>
      <c r="R110" s="22">
        <f t="shared" si="88"/>
        <v>0</v>
      </c>
      <c r="S110" s="22" t="str">
        <f t="shared" si="93"/>
        <v>00</v>
      </c>
      <c r="T110" s="22">
        <f t="shared" si="103"/>
        <v>1900</v>
      </c>
      <c r="U110" s="22">
        <f t="shared" si="103"/>
        <v>1900</v>
      </c>
      <c r="W110" s="22" t="str">
        <f t="shared" si="94"/>
        <v>190000</v>
      </c>
      <c r="X110" s="22" t="str">
        <f t="shared" si="95"/>
        <v>190000</v>
      </c>
    </row>
    <row r="111" spans="2:24">
      <c r="B111" s="22"/>
      <c r="C111" s="22"/>
      <c r="D111" s="77"/>
      <c r="E111" s="54"/>
      <c r="F111" s="77"/>
      <c r="G111" s="77"/>
      <c r="H111" s="78"/>
      <c r="I111" s="54"/>
      <c r="J111" s="39"/>
      <c r="K111" s="54"/>
      <c r="P111" s="22">
        <f t="shared" si="87"/>
        <v>0</v>
      </c>
      <c r="Q111" s="22" t="str">
        <f t="shared" si="92"/>
        <v>00</v>
      </c>
      <c r="R111" s="22">
        <f t="shared" si="88"/>
        <v>0</v>
      </c>
      <c r="S111" s="22" t="str">
        <f t="shared" si="93"/>
        <v>00</v>
      </c>
      <c r="T111" s="22">
        <f t="shared" si="103"/>
        <v>1900</v>
      </c>
      <c r="U111" s="22">
        <f t="shared" si="103"/>
        <v>1900</v>
      </c>
      <c r="W111" s="22" t="str">
        <f t="shared" si="94"/>
        <v>190000</v>
      </c>
      <c r="X111" s="22" t="str">
        <f t="shared" si="95"/>
        <v>190000</v>
      </c>
    </row>
    <row r="112" spans="2:24">
      <c r="B112" s="22"/>
      <c r="C112" s="22"/>
      <c r="D112" s="77"/>
      <c r="E112" s="54"/>
      <c r="F112" s="77"/>
      <c r="G112" s="77"/>
      <c r="H112" s="78"/>
      <c r="I112" s="54"/>
      <c r="J112" s="39"/>
      <c r="K112" s="54"/>
      <c r="P112" s="22">
        <f t="shared" si="87"/>
        <v>0</v>
      </c>
      <c r="Q112" s="22" t="str">
        <f t="shared" si="92"/>
        <v>00</v>
      </c>
      <c r="R112" s="22">
        <f t="shared" si="88"/>
        <v>0</v>
      </c>
      <c r="S112" s="22" t="str">
        <f t="shared" si="93"/>
        <v>00</v>
      </c>
      <c r="T112" s="22">
        <f t="shared" si="103"/>
        <v>1900</v>
      </c>
      <c r="U112" s="22">
        <f t="shared" si="103"/>
        <v>1900</v>
      </c>
      <c r="W112" s="22" t="str">
        <f t="shared" si="94"/>
        <v>190000</v>
      </c>
      <c r="X112" s="22" t="str">
        <f t="shared" si="95"/>
        <v>190000</v>
      </c>
    </row>
    <row r="113" spans="2:24">
      <c r="B113" s="22"/>
      <c r="C113" s="22"/>
      <c r="D113" s="77"/>
      <c r="E113" s="54"/>
      <c r="F113" s="77"/>
      <c r="G113" s="77"/>
      <c r="H113" s="78"/>
      <c r="I113" s="54"/>
      <c r="J113" s="39"/>
      <c r="K113" s="54"/>
      <c r="P113" s="22">
        <f t="shared" si="87"/>
        <v>0</v>
      </c>
      <c r="Q113" s="22" t="str">
        <f t="shared" si="92"/>
        <v>00</v>
      </c>
      <c r="R113" s="22">
        <f t="shared" si="88"/>
        <v>0</v>
      </c>
      <c r="S113" s="22" t="str">
        <f t="shared" si="93"/>
        <v>00</v>
      </c>
      <c r="T113" s="22">
        <f t="shared" si="103"/>
        <v>1900</v>
      </c>
      <c r="U113" s="22">
        <f t="shared" si="103"/>
        <v>1900</v>
      </c>
      <c r="W113" s="22" t="str">
        <f t="shared" si="94"/>
        <v>190000</v>
      </c>
      <c r="X113" s="22" t="str">
        <f t="shared" si="95"/>
        <v>190000</v>
      </c>
    </row>
    <row r="114" spans="2:24">
      <c r="B114" s="22"/>
      <c r="C114" s="22"/>
      <c r="D114" s="77"/>
      <c r="E114" s="54"/>
      <c r="F114" s="77"/>
      <c r="G114" s="77"/>
      <c r="H114" s="78"/>
      <c r="I114" s="54"/>
      <c r="J114" s="39"/>
      <c r="K114" s="54"/>
      <c r="P114" s="22">
        <f t="shared" si="87"/>
        <v>0</v>
      </c>
      <c r="Q114" s="22" t="str">
        <f t="shared" si="92"/>
        <v>00</v>
      </c>
      <c r="R114" s="22">
        <f t="shared" si="88"/>
        <v>0</v>
      </c>
      <c r="S114" s="22" t="str">
        <f t="shared" si="93"/>
        <v>00</v>
      </c>
      <c r="T114" s="22">
        <f t="shared" si="103"/>
        <v>1900</v>
      </c>
      <c r="U114" s="22">
        <f t="shared" si="103"/>
        <v>1900</v>
      </c>
      <c r="W114" s="22" t="str">
        <f t="shared" si="94"/>
        <v>190000</v>
      </c>
      <c r="X114" s="22" t="str">
        <f t="shared" si="95"/>
        <v>190000</v>
      </c>
    </row>
    <row r="115" spans="2:24">
      <c r="B115" s="22"/>
      <c r="C115" s="22"/>
      <c r="D115" s="77"/>
      <c r="E115" s="54"/>
      <c r="F115" s="77"/>
      <c r="G115" s="77"/>
      <c r="H115" s="78"/>
      <c r="I115" s="54"/>
      <c r="J115" s="39"/>
      <c r="K115" s="54"/>
      <c r="P115" s="22">
        <f t="shared" si="87"/>
        <v>0</v>
      </c>
      <c r="Q115" s="22" t="str">
        <f t="shared" si="92"/>
        <v>00</v>
      </c>
      <c r="R115" s="22">
        <f t="shared" si="88"/>
        <v>0</v>
      </c>
      <c r="S115" s="22" t="str">
        <f t="shared" si="93"/>
        <v>00</v>
      </c>
      <c r="T115" s="22">
        <f t="shared" si="103"/>
        <v>1900</v>
      </c>
      <c r="U115" s="22">
        <f t="shared" si="103"/>
        <v>1900</v>
      </c>
      <c r="W115" s="22" t="str">
        <f t="shared" si="94"/>
        <v>190000</v>
      </c>
      <c r="X115" s="22" t="str">
        <f t="shared" si="95"/>
        <v>190000</v>
      </c>
    </row>
    <row r="116" spans="2:24">
      <c r="B116" s="22"/>
      <c r="C116" s="22"/>
      <c r="D116" s="77"/>
      <c r="E116" s="54"/>
      <c r="F116" s="77"/>
      <c r="G116" s="77"/>
      <c r="H116" s="78"/>
      <c r="I116" s="54"/>
      <c r="J116" s="39"/>
      <c r="K116" s="54"/>
      <c r="P116" s="22">
        <f t="shared" si="87"/>
        <v>0</v>
      </c>
      <c r="Q116" s="22" t="str">
        <f t="shared" si="92"/>
        <v>00</v>
      </c>
      <c r="R116" s="22">
        <f t="shared" si="88"/>
        <v>0</v>
      </c>
      <c r="S116" s="22" t="str">
        <f t="shared" si="93"/>
        <v>00</v>
      </c>
      <c r="T116" s="22">
        <f t="shared" si="103"/>
        <v>1900</v>
      </c>
      <c r="U116" s="22">
        <f t="shared" si="103"/>
        <v>1900</v>
      </c>
      <c r="W116" s="22" t="str">
        <f t="shared" si="94"/>
        <v>190000</v>
      </c>
      <c r="X116" s="22" t="str">
        <f t="shared" si="95"/>
        <v>190000</v>
      </c>
    </row>
    <row r="117" spans="2:24">
      <c r="B117" s="22"/>
      <c r="C117" s="22"/>
      <c r="D117" s="77"/>
      <c r="E117" s="54"/>
      <c r="F117" s="77"/>
      <c r="G117" s="77"/>
      <c r="H117" s="78"/>
      <c r="I117" s="54"/>
      <c r="J117" s="39"/>
      <c r="K117" s="54"/>
      <c r="P117" s="22">
        <f t="shared" si="87"/>
        <v>0</v>
      </c>
      <c r="Q117" s="22" t="str">
        <f t="shared" si="92"/>
        <v>00</v>
      </c>
      <c r="R117" s="22">
        <f t="shared" si="88"/>
        <v>0</v>
      </c>
      <c r="S117" s="22" t="str">
        <f t="shared" si="93"/>
        <v>00</v>
      </c>
      <c r="T117" s="22">
        <f t="shared" si="103"/>
        <v>1900</v>
      </c>
      <c r="U117" s="22">
        <f t="shared" si="103"/>
        <v>1900</v>
      </c>
      <c r="W117" s="22" t="str">
        <f t="shared" si="94"/>
        <v>190000</v>
      </c>
      <c r="X117" s="22" t="str">
        <f t="shared" si="95"/>
        <v>190000</v>
      </c>
    </row>
    <row r="118" spans="2:24">
      <c r="B118" s="22"/>
      <c r="C118" s="22"/>
      <c r="D118" s="77"/>
      <c r="E118" s="54"/>
      <c r="F118" s="77"/>
      <c r="G118" s="77"/>
      <c r="H118" s="78"/>
      <c r="I118" s="54"/>
      <c r="J118" s="39"/>
      <c r="K118" s="54"/>
      <c r="P118" s="22">
        <f t="shared" si="87"/>
        <v>0</v>
      </c>
      <c r="Q118" s="22" t="str">
        <f t="shared" si="92"/>
        <v>00</v>
      </c>
      <c r="R118" s="22">
        <f t="shared" si="88"/>
        <v>0</v>
      </c>
      <c r="S118" s="22" t="str">
        <f t="shared" si="93"/>
        <v>00</v>
      </c>
      <c r="T118" s="22">
        <f t="shared" si="103"/>
        <v>1900</v>
      </c>
      <c r="U118" s="22">
        <f t="shared" si="103"/>
        <v>1900</v>
      </c>
      <c r="W118" s="22" t="str">
        <f t="shared" si="94"/>
        <v>190000</v>
      </c>
      <c r="X118" s="22" t="str">
        <f t="shared" si="95"/>
        <v>190000</v>
      </c>
    </row>
    <row r="119" spans="2:24">
      <c r="B119" s="22"/>
      <c r="C119" s="22"/>
      <c r="D119" s="77"/>
      <c r="E119" s="54"/>
      <c r="F119" s="77"/>
      <c r="G119" s="77"/>
      <c r="H119" s="78"/>
      <c r="I119" s="54"/>
      <c r="J119" s="39"/>
      <c r="K119" s="54"/>
      <c r="P119" s="22">
        <f t="shared" si="87"/>
        <v>0</v>
      </c>
      <c r="Q119" s="22" t="str">
        <f t="shared" si="92"/>
        <v>00</v>
      </c>
      <c r="R119" s="22">
        <f t="shared" si="88"/>
        <v>0</v>
      </c>
      <c r="S119" s="22" t="str">
        <f t="shared" si="93"/>
        <v>00</v>
      </c>
      <c r="T119" s="22">
        <f t="shared" si="103"/>
        <v>1900</v>
      </c>
      <c r="U119" s="22">
        <f t="shared" si="103"/>
        <v>1900</v>
      </c>
      <c r="W119" s="22" t="str">
        <f t="shared" si="94"/>
        <v>190000</v>
      </c>
      <c r="X119" s="22" t="str">
        <f t="shared" si="95"/>
        <v>190000</v>
      </c>
    </row>
    <row r="120" spans="2:24">
      <c r="B120" s="22"/>
      <c r="C120" s="22"/>
      <c r="D120" s="77"/>
      <c r="E120" s="54"/>
      <c r="F120" s="77"/>
      <c r="G120" s="77"/>
      <c r="H120" s="78"/>
      <c r="I120" s="54"/>
      <c r="J120" s="39"/>
      <c r="K120" s="54"/>
      <c r="P120" s="22">
        <f t="shared" si="87"/>
        <v>0</v>
      </c>
      <c r="Q120" s="22" t="str">
        <f t="shared" si="92"/>
        <v>00</v>
      </c>
      <c r="R120" s="22">
        <f t="shared" si="88"/>
        <v>0</v>
      </c>
      <c r="S120" s="22" t="str">
        <f t="shared" si="93"/>
        <v>00</v>
      </c>
      <c r="T120" s="22">
        <f t="shared" si="103"/>
        <v>1900</v>
      </c>
      <c r="U120" s="22">
        <f t="shared" si="103"/>
        <v>1900</v>
      </c>
      <c r="W120" s="22" t="str">
        <f t="shared" si="94"/>
        <v>190000</v>
      </c>
      <c r="X120" s="22" t="str">
        <f t="shared" si="95"/>
        <v>190000</v>
      </c>
    </row>
    <row r="121" spans="2:24">
      <c r="B121" s="22"/>
      <c r="C121" s="22"/>
      <c r="D121" s="77"/>
      <c r="E121" s="54"/>
      <c r="F121" s="77"/>
      <c r="G121" s="77"/>
      <c r="H121" s="78"/>
      <c r="I121" s="54"/>
      <c r="J121" s="39"/>
      <c r="K121" s="54"/>
      <c r="P121" s="22">
        <f t="shared" si="87"/>
        <v>0</v>
      </c>
      <c r="Q121" s="22" t="str">
        <f t="shared" si="92"/>
        <v>00</v>
      </c>
      <c r="R121" s="22">
        <f t="shared" si="88"/>
        <v>0</v>
      </c>
      <c r="S121" s="22" t="str">
        <f t="shared" si="93"/>
        <v>00</v>
      </c>
      <c r="T121" s="22">
        <f t="shared" si="103"/>
        <v>1900</v>
      </c>
      <c r="U121" s="22">
        <f t="shared" si="103"/>
        <v>1900</v>
      </c>
      <c r="W121" s="22" t="str">
        <f t="shared" si="94"/>
        <v>190000</v>
      </c>
      <c r="X121" s="22" t="str">
        <f t="shared" si="95"/>
        <v>190000</v>
      </c>
    </row>
    <row r="122" spans="2:24">
      <c r="B122" s="22"/>
      <c r="C122" s="22"/>
      <c r="D122" s="77"/>
      <c r="E122" s="54"/>
      <c r="F122" s="77"/>
      <c r="G122" s="77"/>
      <c r="H122" s="78"/>
      <c r="I122" s="54"/>
      <c r="J122" s="39"/>
      <c r="K122" s="54"/>
      <c r="P122" s="22">
        <f t="shared" si="87"/>
        <v>0</v>
      </c>
      <c r="Q122" s="22" t="str">
        <f t="shared" si="92"/>
        <v>00</v>
      </c>
      <c r="R122" s="22">
        <f t="shared" si="88"/>
        <v>0</v>
      </c>
      <c r="S122" s="22" t="str">
        <f t="shared" si="93"/>
        <v>00</v>
      </c>
      <c r="T122" s="22">
        <f t="shared" si="103"/>
        <v>1900</v>
      </c>
      <c r="U122" s="22">
        <f t="shared" si="103"/>
        <v>1900</v>
      </c>
      <c r="W122" s="22" t="str">
        <f t="shared" si="94"/>
        <v>190000</v>
      </c>
      <c r="X122" s="22" t="str">
        <f t="shared" si="95"/>
        <v>190000</v>
      </c>
    </row>
    <row r="123" spans="2:24">
      <c r="B123" s="22"/>
      <c r="C123" s="22"/>
      <c r="D123" s="77"/>
      <c r="E123" s="54"/>
      <c r="F123" s="77"/>
      <c r="G123" s="77"/>
      <c r="H123" s="78"/>
      <c r="I123" s="54"/>
      <c r="J123" s="39"/>
      <c r="K123" s="54"/>
      <c r="P123" s="22">
        <f t="shared" si="87"/>
        <v>0</v>
      </c>
      <c r="Q123" s="22" t="str">
        <f t="shared" si="92"/>
        <v>00</v>
      </c>
      <c r="R123" s="22">
        <f t="shared" si="88"/>
        <v>0</v>
      </c>
      <c r="S123" s="22" t="str">
        <f t="shared" si="93"/>
        <v>00</v>
      </c>
      <c r="T123" s="22">
        <f t="shared" si="103"/>
        <v>1900</v>
      </c>
      <c r="U123" s="22">
        <f t="shared" si="103"/>
        <v>1900</v>
      </c>
      <c r="W123" s="22" t="str">
        <f t="shared" si="94"/>
        <v>190000</v>
      </c>
      <c r="X123" s="22" t="str">
        <f t="shared" si="95"/>
        <v>190000</v>
      </c>
    </row>
    <row r="124" spans="2:24">
      <c r="B124" s="22"/>
      <c r="C124" s="22"/>
      <c r="D124" s="77"/>
      <c r="E124" s="54"/>
      <c r="F124" s="77"/>
      <c r="G124" s="77"/>
      <c r="H124" s="78"/>
      <c r="I124" s="54"/>
      <c r="J124" s="39"/>
      <c r="K124" s="54"/>
      <c r="P124" s="22">
        <f t="shared" si="87"/>
        <v>0</v>
      </c>
      <c r="Q124" s="22" t="str">
        <f t="shared" si="92"/>
        <v>00</v>
      </c>
      <c r="R124" s="22">
        <f t="shared" si="88"/>
        <v>0</v>
      </c>
      <c r="S124" s="22" t="str">
        <f t="shared" si="93"/>
        <v>00</v>
      </c>
      <c r="T124" s="22">
        <f t="shared" si="103"/>
        <v>1900</v>
      </c>
      <c r="U124" s="22">
        <f t="shared" si="103"/>
        <v>1900</v>
      </c>
      <c r="W124" s="22" t="str">
        <f t="shared" si="94"/>
        <v>190000</v>
      </c>
      <c r="X124" s="22" t="str">
        <f t="shared" si="95"/>
        <v>190000</v>
      </c>
    </row>
    <row r="125" spans="2:24">
      <c r="B125" s="22"/>
      <c r="C125" s="22"/>
      <c r="D125" s="77"/>
      <c r="E125" s="54"/>
      <c r="F125" s="77"/>
      <c r="G125" s="77"/>
      <c r="H125" s="78"/>
      <c r="I125" s="54"/>
      <c r="J125" s="39"/>
      <c r="K125" s="54"/>
      <c r="P125" s="22">
        <f t="shared" si="87"/>
        <v>0</v>
      </c>
      <c r="Q125" s="22" t="str">
        <f t="shared" si="92"/>
        <v>00</v>
      </c>
      <c r="R125" s="22">
        <f t="shared" si="88"/>
        <v>0</v>
      </c>
      <c r="S125" s="22" t="str">
        <f t="shared" si="93"/>
        <v>00</v>
      </c>
      <c r="T125" s="22">
        <f t="shared" si="103"/>
        <v>1900</v>
      </c>
      <c r="U125" s="22">
        <f t="shared" si="103"/>
        <v>1900</v>
      </c>
      <c r="W125" s="22" t="str">
        <f t="shared" si="94"/>
        <v>190000</v>
      </c>
      <c r="X125" s="22" t="str">
        <f t="shared" si="95"/>
        <v>190000</v>
      </c>
    </row>
    <row r="126" spans="2:24">
      <c r="B126" s="22"/>
      <c r="C126" s="22"/>
      <c r="D126" s="77"/>
      <c r="E126" s="54"/>
      <c r="F126" s="77"/>
      <c r="G126" s="77"/>
      <c r="H126" s="78"/>
      <c r="I126" s="54"/>
      <c r="J126" s="39"/>
      <c r="K126" s="54"/>
      <c r="P126" s="22">
        <f t="shared" si="87"/>
        <v>0</v>
      </c>
      <c r="Q126" s="22" t="str">
        <f t="shared" si="92"/>
        <v>00</v>
      </c>
      <c r="R126" s="22">
        <f t="shared" si="88"/>
        <v>0</v>
      </c>
      <c r="S126" s="22" t="str">
        <f t="shared" si="93"/>
        <v>00</v>
      </c>
      <c r="T126" s="22">
        <f t="shared" si="103"/>
        <v>1900</v>
      </c>
      <c r="U126" s="22">
        <f t="shared" si="103"/>
        <v>1900</v>
      </c>
      <c r="W126" s="22" t="str">
        <f t="shared" si="94"/>
        <v>190000</v>
      </c>
      <c r="X126" s="22" t="str">
        <f t="shared" si="95"/>
        <v>190000</v>
      </c>
    </row>
    <row r="127" spans="2:24">
      <c r="B127" s="22"/>
      <c r="C127" s="22"/>
      <c r="D127" s="77"/>
      <c r="E127" s="54"/>
      <c r="F127" s="77"/>
      <c r="G127" s="77"/>
      <c r="H127" s="78"/>
      <c r="I127" s="54"/>
      <c r="J127" s="39"/>
      <c r="K127" s="54"/>
      <c r="P127" s="22">
        <f t="shared" si="87"/>
        <v>0</v>
      </c>
      <c r="Q127" s="22" t="str">
        <f t="shared" si="92"/>
        <v>00</v>
      </c>
      <c r="R127" s="22">
        <f t="shared" si="88"/>
        <v>0</v>
      </c>
      <c r="S127" s="22" t="str">
        <f t="shared" si="93"/>
        <v>00</v>
      </c>
      <c r="T127" s="22">
        <f t="shared" si="103"/>
        <v>1900</v>
      </c>
      <c r="U127" s="22">
        <f t="shared" si="103"/>
        <v>1900</v>
      </c>
      <c r="W127" s="22" t="str">
        <f t="shared" si="94"/>
        <v>190000</v>
      </c>
      <c r="X127" s="22" t="str">
        <f t="shared" si="95"/>
        <v>190000</v>
      </c>
    </row>
    <row r="128" spans="2:24">
      <c r="B128" s="22"/>
      <c r="C128" s="22"/>
      <c r="D128" s="77"/>
      <c r="E128" s="54"/>
      <c r="F128" s="77"/>
      <c r="G128" s="77"/>
      <c r="H128" s="78"/>
      <c r="I128" s="54"/>
      <c r="J128" s="39"/>
      <c r="K128" s="54"/>
      <c r="P128" s="22">
        <f t="shared" ref="P128:P191" si="104">WEEKNUM(F128,2)-1</f>
        <v>0</v>
      </c>
      <c r="Q128" s="22" t="str">
        <f t="shared" si="92"/>
        <v>00</v>
      </c>
      <c r="R128" s="22">
        <f t="shared" ref="R128:R191" si="105">WEEKNUM(G128,2)-1</f>
        <v>0</v>
      </c>
      <c r="S128" s="22" t="str">
        <f t="shared" si="93"/>
        <v>00</v>
      </c>
      <c r="T128" s="22">
        <f t="shared" si="103"/>
        <v>1900</v>
      </c>
      <c r="U128" s="22">
        <f t="shared" si="103"/>
        <v>1900</v>
      </c>
      <c r="W128" s="22" t="str">
        <f t="shared" si="94"/>
        <v>190000</v>
      </c>
      <c r="X128" s="22" t="str">
        <f t="shared" si="95"/>
        <v>190000</v>
      </c>
    </row>
    <row r="129" spans="2:24">
      <c r="B129" s="22"/>
      <c r="C129" s="22"/>
      <c r="D129" s="77"/>
      <c r="E129" s="54"/>
      <c r="F129" s="77"/>
      <c r="G129" s="77"/>
      <c r="H129" s="78"/>
      <c r="I129" s="54"/>
      <c r="J129" s="39"/>
      <c r="K129" s="54"/>
      <c r="P129" s="22">
        <f t="shared" si="104"/>
        <v>0</v>
      </c>
      <c r="Q129" s="22" t="str">
        <f t="shared" si="92"/>
        <v>00</v>
      </c>
      <c r="R129" s="22">
        <f t="shared" si="105"/>
        <v>0</v>
      </c>
      <c r="S129" s="22" t="str">
        <f t="shared" si="93"/>
        <v>00</v>
      </c>
      <c r="T129" s="22">
        <f t="shared" si="103"/>
        <v>1900</v>
      </c>
      <c r="U129" s="22">
        <f t="shared" si="103"/>
        <v>1900</v>
      </c>
      <c r="W129" s="22" t="str">
        <f t="shared" si="94"/>
        <v>190000</v>
      </c>
      <c r="X129" s="22" t="str">
        <f t="shared" si="95"/>
        <v>190000</v>
      </c>
    </row>
    <row r="130" spans="2:24">
      <c r="B130" s="22"/>
      <c r="C130" s="22"/>
      <c r="D130" s="77"/>
      <c r="E130" s="54"/>
      <c r="F130" s="77"/>
      <c r="G130" s="77"/>
      <c r="H130" s="78"/>
      <c r="I130" s="54"/>
      <c r="J130" s="39"/>
      <c r="K130" s="54"/>
      <c r="P130" s="22">
        <f t="shared" si="104"/>
        <v>0</v>
      </c>
      <c r="Q130" s="22" t="str">
        <f t="shared" si="92"/>
        <v>00</v>
      </c>
      <c r="R130" s="22">
        <f t="shared" si="105"/>
        <v>0</v>
      </c>
      <c r="S130" s="22" t="str">
        <f t="shared" si="93"/>
        <v>00</v>
      </c>
      <c r="T130" s="22">
        <f t="shared" si="103"/>
        <v>1900</v>
      </c>
      <c r="U130" s="22">
        <f t="shared" si="103"/>
        <v>1900</v>
      </c>
      <c r="W130" s="22" t="str">
        <f t="shared" si="94"/>
        <v>190000</v>
      </c>
      <c r="X130" s="22" t="str">
        <f t="shared" si="95"/>
        <v>190000</v>
      </c>
    </row>
    <row r="131" spans="2:24">
      <c r="B131" s="22"/>
      <c r="C131" s="22"/>
      <c r="D131" s="77"/>
      <c r="E131" s="54"/>
      <c r="F131" s="77"/>
      <c r="G131" s="77"/>
      <c r="H131" s="78"/>
      <c r="I131" s="54"/>
      <c r="J131" s="39"/>
      <c r="K131" s="54"/>
      <c r="P131" s="22">
        <f t="shared" si="104"/>
        <v>0</v>
      </c>
      <c r="Q131" s="22" t="str">
        <f t="shared" ref="Q131:Q194" si="106">TEXT(P131,"00")</f>
        <v>00</v>
      </c>
      <c r="R131" s="22">
        <f t="shared" si="105"/>
        <v>0</v>
      </c>
      <c r="S131" s="22" t="str">
        <f t="shared" ref="S131:S194" si="107">TEXT(R131,"00")</f>
        <v>00</v>
      </c>
      <c r="T131" s="22">
        <f t="shared" si="103"/>
        <v>1900</v>
      </c>
      <c r="U131" s="22">
        <f t="shared" si="103"/>
        <v>1900</v>
      </c>
      <c r="W131" s="22" t="str">
        <f t="shared" ref="W131:W194" si="108">T131&amp;Q131</f>
        <v>190000</v>
      </c>
      <c r="X131" s="22" t="str">
        <f t="shared" ref="X131:X194" si="109">U131&amp;S131</f>
        <v>190000</v>
      </c>
    </row>
    <row r="132" spans="2:24">
      <c r="B132" s="22"/>
      <c r="C132" s="22"/>
      <c r="D132" s="77"/>
      <c r="E132" s="54"/>
      <c r="F132" s="77"/>
      <c r="G132" s="77"/>
      <c r="H132" s="78"/>
      <c r="I132" s="54"/>
      <c r="J132" s="39"/>
      <c r="K132" s="54"/>
      <c r="P132" s="22">
        <f t="shared" si="104"/>
        <v>0</v>
      </c>
      <c r="Q132" s="22" t="str">
        <f t="shared" si="106"/>
        <v>00</v>
      </c>
      <c r="R132" s="22">
        <f t="shared" si="105"/>
        <v>0</v>
      </c>
      <c r="S132" s="22" t="str">
        <f t="shared" si="107"/>
        <v>00</v>
      </c>
      <c r="T132" s="22">
        <f t="shared" si="103"/>
        <v>1900</v>
      </c>
      <c r="U132" s="22">
        <f t="shared" si="103"/>
        <v>1900</v>
      </c>
      <c r="W132" s="22" t="str">
        <f t="shared" si="108"/>
        <v>190000</v>
      </c>
      <c r="X132" s="22" t="str">
        <f t="shared" si="109"/>
        <v>190000</v>
      </c>
    </row>
    <row r="133" spans="2:24">
      <c r="B133" s="22"/>
      <c r="C133" s="22"/>
      <c r="D133" s="77"/>
      <c r="E133" s="54"/>
      <c r="F133" s="77"/>
      <c r="G133" s="77"/>
      <c r="H133" s="78"/>
      <c r="I133" s="54"/>
      <c r="J133" s="39"/>
      <c r="K133" s="54"/>
      <c r="P133" s="22">
        <f t="shared" si="104"/>
        <v>0</v>
      </c>
      <c r="Q133" s="22" t="str">
        <f t="shared" si="106"/>
        <v>00</v>
      </c>
      <c r="R133" s="22">
        <f t="shared" si="105"/>
        <v>0</v>
      </c>
      <c r="S133" s="22" t="str">
        <f t="shared" si="107"/>
        <v>00</v>
      </c>
      <c r="T133" s="22">
        <f t="shared" si="103"/>
        <v>1900</v>
      </c>
      <c r="U133" s="22">
        <f t="shared" si="103"/>
        <v>1900</v>
      </c>
      <c r="W133" s="22" t="str">
        <f t="shared" si="108"/>
        <v>190000</v>
      </c>
      <c r="X133" s="22" t="str">
        <f t="shared" si="109"/>
        <v>190000</v>
      </c>
    </row>
    <row r="134" spans="2:24">
      <c r="B134" s="22"/>
      <c r="C134" s="22"/>
      <c r="D134" s="77"/>
      <c r="E134" s="54"/>
      <c r="F134" s="77"/>
      <c r="G134" s="77"/>
      <c r="H134" s="78"/>
      <c r="I134" s="54"/>
      <c r="J134" s="39"/>
      <c r="K134" s="54"/>
      <c r="P134" s="22">
        <f t="shared" si="104"/>
        <v>0</v>
      </c>
      <c r="Q134" s="22" t="str">
        <f t="shared" si="106"/>
        <v>00</v>
      </c>
      <c r="R134" s="22">
        <f t="shared" si="105"/>
        <v>0</v>
      </c>
      <c r="S134" s="22" t="str">
        <f t="shared" si="107"/>
        <v>00</v>
      </c>
      <c r="T134" s="22">
        <f t="shared" si="103"/>
        <v>1900</v>
      </c>
      <c r="U134" s="22">
        <f t="shared" si="103"/>
        <v>1900</v>
      </c>
      <c r="W134" s="22" t="str">
        <f t="shared" si="108"/>
        <v>190000</v>
      </c>
      <c r="X134" s="22" t="str">
        <f t="shared" si="109"/>
        <v>190000</v>
      </c>
    </row>
    <row r="135" spans="2:24">
      <c r="B135" s="22"/>
      <c r="C135" s="22"/>
      <c r="D135" s="77"/>
      <c r="E135" s="54"/>
      <c r="F135" s="77"/>
      <c r="G135" s="77"/>
      <c r="H135" s="78"/>
      <c r="I135" s="54"/>
      <c r="J135" s="39"/>
      <c r="K135" s="54"/>
      <c r="P135" s="22">
        <f t="shared" si="104"/>
        <v>0</v>
      </c>
      <c r="Q135" s="22" t="str">
        <f t="shared" si="106"/>
        <v>00</v>
      </c>
      <c r="R135" s="22">
        <f t="shared" si="105"/>
        <v>0</v>
      </c>
      <c r="S135" s="22" t="str">
        <f t="shared" si="107"/>
        <v>00</v>
      </c>
      <c r="T135" s="22">
        <f t="shared" si="103"/>
        <v>1900</v>
      </c>
      <c r="U135" s="22">
        <f t="shared" si="103"/>
        <v>1900</v>
      </c>
      <c r="W135" s="22" t="str">
        <f t="shared" si="108"/>
        <v>190000</v>
      </c>
      <c r="X135" s="22" t="str">
        <f t="shared" si="109"/>
        <v>190000</v>
      </c>
    </row>
    <row r="136" spans="2:24">
      <c r="B136" s="22"/>
      <c r="C136" s="22"/>
      <c r="D136" s="77"/>
      <c r="E136" s="54"/>
      <c r="F136" s="77"/>
      <c r="G136" s="77"/>
      <c r="H136" s="78"/>
      <c r="I136" s="54"/>
      <c r="J136" s="39"/>
      <c r="K136" s="54"/>
      <c r="P136" s="22">
        <f t="shared" si="104"/>
        <v>0</v>
      </c>
      <c r="Q136" s="22" t="str">
        <f t="shared" si="106"/>
        <v>00</v>
      </c>
      <c r="R136" s="22">
        <f t="shared" si="105"/>
        <v>0</v>
      </c>
      <c r="S136" s="22" t="str">
        <f t="shared" si="107"/>
        <v>00</v>
      </c>
      <c r="T136" s="22">
        <f t="shared" si="103"/>
        <v>1900</v>
      </c>
      <c r="U136" s="22">
        <f t="shared" si="103"/>
        <v>1900</v>
      </c>
      <c r="W136" s="22" t="str">
        <f t="shared" si="108"/>
        <v>190000</v>
      </c>
      <c r="X136" s="22" t="str">
        <f t="shared" si="109"/>
        <v>190000</v>
      </c>
    </row>
    <row r="137" spans="2:24">
      <c r="B137" s="22"/>
      <c r="C137" s="22"/>
      <c r="D137" s="77"/>
      <c r="E137" s="54"/>
      <c r="F137" s="77"/>
      <c r="G137" s="77"/>
      <c r="H137" s="78"/>
      <c r="I137" s="54"/>
      <c r="J137" s="39"/>
      <c r="K137" s="54"/>
      <c r="P137" s="22">
        <f t="shared" si="104"/>
        <v>0</v>
      </c>
      <c r="Q137" s="22" t="str">
        <f t="shared" si="106"/>
        <v>00</v>
      </c>
      <c r="R137" s="22">
        <f t="shared" si="105"/>
        <v>0</v>
      </c>
      <c r="S137" s="22" t="str">
        <f t="shared" si="107"/>
        <v>00</v>
      </c>
      <c r="T137" s="22">
        <f t="shared" si="103"/>
        <v>1900</v>
      </c>
      <c r="U137" s="22">
        <f t="shared" si="103"/>
        <v>1900</v>
      </c>
      <c r="W137" s="22" t="str">
        <f t="shared" si="108"/>
        <v>190000</v>
      </c>
      <c r="X137" s="22" t="str">
        <f t="shared" si="109"/>
        <v>190000</v>
      </c>
    </row>
    <row r="138" spans="2:24">
      <c r="B138" s="22"/>
      <c r="C138" s="22"/>
      <c r="D138" s="77"/>
      <c r="E138" s="54"/>
      <c r="F138" s="77"/>
      <c r="G138" s="77"/>
      <c r="H138" s="78"/>
      <c r="I138" s="54"/>
      <c r="J138" s="39"/>
      <c r="K138" s="54"/>
      <c r="P138" s="22">
        <f t="shared" si="104"/>
        <v>0</v>
      </c>
      <c r="Q138" s="22" t="str">
        <f t="shared" si="106"/>
        <v>00</v>
      </c>
      <c r="R138" s="22">
        <f t="shared" si="105"/>
        <v>0</v>
      </c>
      <c r="S138" s="22" t="str">
        <f t="shared" si="107"/>
        <v>00</v>
      </c>
      <c r="T138" s="22">
        <f t="shared" si="103"/>
        <v>1900</v>
      </c>
      <c r="U138" s="22">
        <f t="shared" si="103"/>
        <v>1900</v>
      </c>
      <c r="W138" s="22" t="str">
        <f t="shared" si="108"/>
        <v>190000</v>
      </c>
      <c r="X138" s="22" t="str">
        <f t="shared" si="109"/>
        <v>190000</v>
      </c>
    </row>
    <row r="139" spans="2:24">
      <c r="B139" s="22"/>
      <c r="C139" s="22"/>
      <c r="D139" s="77"/>
      <c r="E139" s="54"/>
      <c r="F139" s="77"/>
      <c r="G139" s="77"/>
      <c r="H139" s="78"/>
      <c r="I139" s="54"/>
      <c r="J139" s="39"/>
      <c r="K139" s="54"/>
      <c r="P139" s="22">
        <f t="shared" si="104"/>
        <v>0</v>
      </c>
      <c r="Q139" s="22" t="str">
        <f t="shared" si="106"/>
        <v>00</v>
      </c>
      <c r="R139" s="22">
        <f t="shared" si="105"/>
        <v>0</v>
      </c>
      <c r="S139" s="22" t="str">
        <f t="shared" si="107"/>
        <v>00</v>
      </c>
      <c r="T139" s="22">
        <f t="shared" si="103"/>
        <v>1900</v>
      </c>
      <c r="U139" s="22">
        <f t="shared" si="103"/>
        <v>1900</v>
      </c>
      <c r="W139" s="22" t="str">
        <f t="shared" si="108"/>
        <v>190000</v>
      </c>
      <c r="X139" s="22" t="str">
        <f t="shared" si="109"/>
        <v>190000</v>
      </c>
    </row>
    <row r="140" spans="2:24">
      <c r="B140" s="22"/>
      <c r="C140" s="22"/>
      <c r="D140" s="77"/>
      <c r="E140" s="54"/>
      <c r="F140" s="77"/>
      <c r="G140" s="77"/>
      <c r="H140" s="78"/>
      <c r="I140" s="54"/>
      <c r="J140" s="39"/>
      <c r="K140" s="54"/>
      <c r="P140" s="22">
        <f t="shared" si="104"/>
        <v>0</v>
      </c>
      <c r="Q140" s="22" t="str">
        <f t="shared" si="106"/>
        <v>00</v>
      </c>
      <c r="R140" s="22">
        <f t="shared" si="105"/>
        <v>0</v>
      </c>
      <c r="S140" s="22" t="str">
        <f t="shared" si="107"/>
        <v>00</v>
      </c>
      <c r="T140" s="22">
        <f t="shared" si="103"/>
        <v>1900</v>
      </c>
      <c r="U140" s="22">
        <f t="shared" si="103"/>
        <v>1900</v>
      </c>
      <c r="W140" s="22" t="str">
        <f t="shared" si="108"/>
        <v>190000</v>
      </c>
      <c r="X140" s="22" t="str">
        <f t="shared" si="109"/>
        <v>190000</v>
      </c>
    </row>
    <row r="141" spans="2:24">
      <c r="B141" s="22"/>
      <c r="C141" s="22"/>
      <c r="D141" s="77"/>
      <c r="E141" s="54"/>
      <c r="F141" s="77"/>
      <c r="G141" s="77"/>
      <c r="H141" s="78"/>
      <c r="I141" s="54"/>
      <c r="J141" s="39"/>
      <c r="K141" s="54"/>
      <c r="P141" s="22">
        <f t="shared" si="104"/>
        <v>0</v>
      </c>
      <c r="Q141" s="22" t="str">
        <f t="shared" si="106"/>
        <v>00</v>
      </c>
      <c r="R141" s="22">
        <f t="shared" si="105"/>
        <v>0</v>
      </c>
      <c r="S141" s="22" t="str">
        <f t="shared" si="107"/>
        <v>00</v>
      </c>
      <c r="T141" s="22">
        <f t="shared" si="103"/>
        <v>1900</v>
      </c>
      <c r="U141" s="22">
        <f t="shared" si="103"/>
        <v>1900</v>
      </c>
      <c r="W141" s="22" t="str">
        <f t="shared" si="108"/>
        <v>190000</v>
      </c>
      <c r="X141" s="22" t="str">
        <f t="shared" si="109"/>
        <v>190000</v>
      </c>
    </row>
    <row r="142" spans="2:24">
      <c r="B142" s="22"/>
      <c r="C142" s="22"/>
      <c r="D142" s="77"/>
      <c r="E142" s="54"/>
      <c r="F142" s="77"/>
      <c r="G142" s="77"/>
      <c r="H142" s="78"/>
      <c r="I142" s="54"/>
      <c r="J142" s="39"/>
      <c r="K142" s="54"/>
      <c r="P142" s="22">
        <f t="shared" si="104"/>
        <v>0</v>
      </c>
      <c r="Q142" s="22" t="str">
        <f t="shared" si="106"/>
        <v>00</v>
      </c>
      <c r="R142" s="22">
        <f t="shared" si="105"/>
        <v>0</v>
      </c>
      <c r="S142" s="22" t="str">
        <f t="shared" si="107"/>
        <v>00</v>
      </c>
      <c r="T142" s="22">
        <f t="shared" si="103"/>
        <v>1900</v>
      </c>
      <c r="U142" s="22">
        <f t="shared" si="103"/>
        <v>1900</v>
      </c>
      <c r="W142" s="22" t="str">
        <f t="shared" si="108"/>
        <v>190000</v>
      </c>
      <c r="X142" s="22" t="str">
        <f t="shared" si="109"/>
        <v>190000</v>
      </c>
    </row>
    <row r="143" spans="2:24">
      <c r="B143" s="22"/>
      <c r="C143" s="22"/>
      <c r="D143" s="77"/>
      <c r="E143" s="54"/>
      <c r="F143" s="77"/>
      <c r="G143" s="77"/>
      <c r="H143" s="78"/>
      <c r="I143" s="54"/>
      <c r="J143" s="39"/>
      <c r="K143" s="54"/>
      <c r="P143" s="22">
        <f t="shared" si="104"/>
        <v>0</v>
      </c>
      <c r="Q143" s="22" t="str">
        <f t="shared" si="106"/>
        <v>00</v>
      </c>
      <c r="R143" s="22">
        <f t="shared" si="105"/>
        <v>0</v>
      </c>
      <c r="S143" s="22" t="str">
        <f t="shared" si="107"/>
        <v>00</v>
      </c>
      <c r="T143" s="22">
        <f t="shared" si="103"/>
        <v>1900</v>
      </c>
      <c r="U143" s="22">
        <f t="shared" si="103"/>
        <v>1900</v>
      </c>
      <c r="W143" s="22" t="str">
        <f t="shared" si="108"/>
        <v>190000</v>
      </c>
      <c r="X143" s="22" t="str">
        <f t="shared" si="109"/>
        <v>190000</v>
      </c>
    </row>
    <row r="144" spans="2:24">
      <c r="B144" s="22"/>
      <c r="C144" s="22"/>
      <c r="D144" s="77"/>
      <c r="E144" s="54"/>
      <c r="F144" s="77"/>
      <c r="G144" s="77"/>
      <c r="H144" s="78"/>
      <c r="I144" s="54"/>
      <c r="J144" s="39"/>
      <c r="K144" s="54"/>
      <c r="P144" s="22">
        <f t="shared" si="104"/>
        <v>0</v>
      </c>
      <c r="Q144" s="22" t="str">
        <f t="shared" si="106"/>
        <v>00</v>
      </c>
      <c r="R144" s="22">
        <f t="shared" si="105"/>
        <v>0</v>
      </c>
      <c r="S144" s="22" t="str">
        <f t="shared" si="107"/>
        <v>00</v>
      </c>
      <c r="T144" s="22">
        <f t="shared" si="103"/>
        <v>1900</v>
      </c>
      <c r="U144" s="22">
        <f t="shared" si="103"/>
        <v>1900</v>
      </c>
      <c r="W144" s="22" t="str">
        <f t="shared" si="108"/>
        <v>190000</v>
      </c>
      <c r="X144" s="22" t="str">
        <f t="shared" si="109"/>
        <v>190000</v>
      </c>
    </row>
    <row r="145" spans="2:24">
      <c r="B145" s="22"/>
      <c r="C145" s="22"/>
      <c r="D145" s="77"/>
      <c r="E145" s="54"/>
      <c r="F145" s="77"/>
      <c r="G145" s="77"/>
      <c r="H145" s="78"/>
      <c r="I145" s="54"/>
      <c r="J145" s="39"/>
      <c r="K145" s="54"/>
      <c r="P145" s="22">
        <f t="shared" si="104"/>
        <v>0</v>
      </c>
      <c r="Q145" s="22" t="str">
        <f t="shared" si="106"/>
        <v>00</v>
      </c>
      <c r="R145" s="22">
        <f t="shared" si="105"/>
        <v>0</v>
      </c>
      <c r="S145" s="22" t="str">
        <f t="shared" si="107"/>
        <v>00</v>
      </c>
      <c r="T145" s="22">
        <f t="shared" si="103"/>
        <v>1900</v>
      </c>
      <c r="U145" s="22">
        <f t="shared" si="103"/>
        <v>1900</v>
      </c>
      <c r="W145" s="22" t="str">
        <f t="shared" si="108"/>
        <v>190000</v>
      </c>
      <c r="X145" s="22" t="str">
        <f t="shared" si="109"/>
        <v>190000</v>
      </c>
    </row>
    <row r="146" spans="2:24">
      <c r="B146" s="22"/>
      <c r="C146" s="22"/>
      <c r="D146" s="77"/>
      <c r="E146" s="54"/>
      <c r="F146" s="77"/>
      <c r="G146" s="77"/>
      <c r="H146" s="78"/>
      <c r="I146" s="54"/>
      <c r="J146" s="39"/>
      <c r="K146" s="54"/>
      <c r="P146" s="22">
        <f t="shared" si="104"/>
        <v>0</v>
      </c>
      <c r="Q146" s="22" t="str">
        <f t="shared" si="106"/>
        <v>00</v>
      </c>
      <c r="R146" s="22">
        <f t="shared" si="105"/>
        <v>0</v>
      </c>
      <c r="S146" s="22" t="str">
        <f t="shared" si="107"/>
        <v>00</v>
      </c>
      <c r="T146" s="22">
        <f t="shared" si="103"/>
        <v>1900</v>
      </c>
      <c r="U146" s="22">
        <f t="shared" si="103"/>
        <v>1900</v>
      </c>
      <c r="W146" s="22" t="str">
        <f t="shared" si="108"/>
        <v>190000</v>
      </c>
      <c r="X146" s="22" t="str">
        <f t="shared" si="109"/>
        <v>190000</v>
      </c>
    </row>
    <row r="147" spans="2:24">
      <c r="B147" s="22"/>
      <c r="C147" s="22"/>
      <c r="D147" s="77"/>
      <c r="E147" s="54"/>
      <c r="F147" s="77"/>
      <c r="G147" s="77"/>
      <c r="H147" s="78"/>
      <c r="I147" s="54"/>
      <c r="J147" s="39"/>
      <c r="K147" s="54"/>
      <c r="P147" s="22">
        <f t="shared" si="104"/>
        <v>0</v>
      </c>
      <c r="Q147" s="22" t="str">
        <f t="shared" si="106"/>
        <v>00</v>
      </c>
      <c r="R147" s="22">
        <f t="shared" si="105"/>
        <v>0</v>
      </c>
      <c r="S147" s="22" t="str">
        <f t="shared" si="107"/>
        <v>00</v>
      </c>
      <c r="T147" s="22">
        <f t="shared" si="103"/>
        <v>1900</v>
      </c>
      <c r="U147" s="22">
        <f t="shared" si="103"/>
        <v>1900</v>
      </c>
      <c r="W147" s="22" t="str">
        <f t="shared" si="108"/>
        <v>190000</v>
      </c>
      <c r="X147" s="22" t="str">
        <f t="shared" si="109"/>
        <v>190000</v>
      </c>
    </row>
    <row r="148" spans="2:24">
      <c r="B148" s="22"/>
      <c r="C148" s="22"/>
      <c r="D148" s="77"/>
      <c r="E148" s="54"/>
      <c r="F148" s="77"/>
      <c r="G148" s="77"/>
      <c r="H148" s="78"/>
      <c r="I148" s="54"/>
      <c r="J148" s="39"/>
      <c r="K148" s="54"/>
      <c r="P148" s="22">
        <f t="shared" si="104"/>
        <v>0</v>
      </c>
      <c r="Q148" s="22" t="str">
        <f t="shared" si="106"/>
        <v>00</v>
      </c>
      <c r="R148" s="22">
        <f t="shared" si="105"/>
        <v>0</v>
      </c>
      <c r="S148" s="22" t="str">
        <f t="shared" si="107"/>
        <v>00</v>
      </c>
      <c r="T148" s="22">
        <f t="shared" ref="T148:U211" si="110">YEAR(F148)</f>
        <v>1900</v>
      </c>
      <c r="U148" s="22">
        <f t="shared" si="110"/>
        <v>1900</v>
      </c>
      <c r="W148" s="22" t="str">
        <f t="shared" si="108"/>
        <v>190000</v>
      </c>
      <c r="X148" s="22" t="str">
        <f t="shared" si="109"/>
        <v>190000</v>
      </c>
    </row>
    <row r="149" spans="2:24">
      <c r="B149" s="22"/>
      <c r="C149" s="22"/>
      <c r="D149" s="77"/>
      <c r="E149" s="54"/>
      <c r="F149" s="77"/>
      <c r="G149" s="77"/>
      <c r="H149" s="78"/>
      <c r="I149" s="54"/>
      <c r="J149" s="39"/>
      <c r="K149" s="54"/>
      <c r="P149" s="22">
        <f t="shared" si="104"/>
        <v>0</v>
      </c>
      <c r="Q149" s="22" t="str">
        <f t="shared" si="106"/>
        <v>00</v>
      </c>
      <c r="R149" s="22">
        <f t="shared" si="105"/>
        <v>0</v>
      </c>
      <c r="S149" s="22" t="str">
        <f t="shared" si="107"/>
        <v>00</v>
      </c>
      <c r="T149" s="22">
        <f t="shared" si="110"/>
        <v>1900</v>
      </c>
      <c r="U149" s="22">
        <f t="shared" si="110"/>
        <v>1900</v>
      </c>
      <c r="W149" s="22" t="str">
        <f t="shared" si="108"/>
        <v>190000</v>
      </c>
      <c r="X149" s="22" t="str">
        <f t="shared" si="109"/>
        <v>190000</v>
      </c>
    </row>
    <row r="150" spans="2:24">
      <c r="B150" s="22"/>
      <c r="C150" s="22"/>
      <c r="D150" s="77"/>
      <c r="E150" s="54"/>
      <c r="F150" s="77"/>
      <c r="G150" s="77"/>
      <c r="H150" s="78"/>
      <c r="I150" s="54"/>
      <c r="J150" s="39"/>
      <c r="K150" s="54"/>
      <c r="P150" s="22">
        <f t="shared" si="104"/>
        <v>0</v>
      </c>
      <c r="Q150" s="22" t="str">
        <f t="shared" si="106"/>
        <v>00</v>
      </c>
      <c r="R150" s="22">
        <f t="shared" si="105"/>
        <v>0</v>
      </c>
      <c r="S150" s="22" t="str">
        <f t="shared" si="107"/>
        <v>00</v>
      </c>
      <c r="T150" s="22">
        <f t="shared" si="110"/>
        <v>1900</v>
      </c>
      <c r="U150" s="22">
        <f t="shared" si="110"/>
        <v>1900</v>
      </c>
      <c r="W150" s="22" t="str">
        <f t="shared" si="108"/>
        <v>190000</v>
      </c>
      <c r="X150" s="22" t="str">
        <f t="shared" si="109"/>
        <v>190000</v>
      </c>
    </row>
    <row r="151" spans="2:24">
      <c r="B151" s="22"/>
      <c r="C151" s="22"/>
      <c r="D151" s="77"/>
      <c r="E151" s="54"/>
      <c r="F151" s="77"/>
      <c r="G151" s="77"/>
      <c r="H151" s="78"/>
      <c r="I151" s="54"/>
      <c r="J151" s="39"/>
      <c r="K151" s="54"/>
      <c r="P151" s="22">
        <f t="shared" si="104"/>
        <v>0</v>
      </c>
      <c r="Q151" s="22" t="str">
        <f t="shared" si="106"/>
        <v>00</v>
      </c>
      <c r="R151" s="22">
        <f t="shared" si="105"/>
        <v>0</v>
      </c>
      <c r="S151" s="22" t="str">
        <f t="shared" si="107"/>
        <v>00</v>
      </c>
      <c r="T151" s="22">
        <f t="shared" si="110"/>
        <v>1900</v>
      </c>
      <c r="U151" s="22">
        <f t="shared" si="110"/>
        <v>1900</v>
      </c>
      <c r="W151" s="22" t="str">
        <f t="shared" si="108"/>
        <v>190000</v>
      </c>
      <c r="X151" s="22" t="str">
        <f t="shared" si="109"/>
        <v>190000</v>
      </c>
    </row>
    <row r="152" spans="2:24">
      <c r="B152" s="22"/>
      <c r="C152" s="22"/>
      <c r="D152" s="77"/>
      <c r="E152" s="54"/>
      <c r="F152" s="77"/>
      <c r="G152" s="77"/>
      <c r="H152" s="78"/>
      <c r="I152" s="54"/>
      <c r="J152" s="39"/>
      <c r="K152" s="54"/>
      <c r="P152" s="22">
        <f t="shared" si="104"/>
        <v>0</v>
      </c>
      <c r="Q152" s="22" t="str">
        <f t="shared" si="106"/>
        <v>00</v>
      </c>
      <c r="R152" s="22">
        <f t="shared" si="105"/>
        <v>0</v>
      </c>
      <c r="S152" s="22" t="str">
        <f t="shared" si="107"/>
        <v>00</v>
      </c>
      <c r="T152" s="22">
        <f t="shared" si="110"/>
        <v>1900</v>
      </c>
      <c r="U152" s="22">
        <f t="shared" si="110"/>
        <v>1900</v>
      </c>
      <c r="W152" s="22" t="str">
        <f t="shared" si="108"/>
        <v>190000</v>
      </c>
      <c r="X152" s="22" t="str">
        <f t="shared" si="109"/>
        <v>190000</v>
      </c>
    </row>
    <row r="153" spans="2:24">
      <c r="B153" s="22"/>
      <c r="C153" s="22"/>
      <c r="D153" s="77"/>
      <c r="E153" s="54"/>
      <c r="F153" s="77"/>
      <c r="G153" s="77"/>
      <c r="H153" s="78"/>
      <c r="I153" s="54"/>
      <c r="J153" s="39"/>
      <c r="K153" s="54"/>
      <c r="P153" s="22">
        <f t="shared" si="104"/>
        <v>0</v>
      </c>
      <c r="Q153" s="22" t="str">
        <f t="shared" si="106"/>
        <v>00</v>
      </c>
      <c r="R153" s="22">
        <f t="shared" si="105"/>
        <v>0</v>
      </c>
      <c r="S153" s="22" t="str">
        <f t="shared" si="107"/>
        <v>00</v>
      </c>
      <c r="T153" s="22">
        <f t="shared" si="110"/>
        <v>1900</v>
      </c>
      <c r="U153" s="22">
        <f t="shared" si="110"/>
        <v>1900</v>
      </c>
      <c r="W153" s="22" t="str">
        <f t="shared" si="108"/>
        <v>190000</v>
      </c>
      <c r="X153" s="22" t="str">
        <f t="shared" si="109"/>
        <v>190000</v>
      </c>
    </row>
    <row r="154" spans="2:24">
      <c r="B154" s="22"/>
      <c r="C154" s="22"/>
      <c r="D154" s="77"/>
      <c r="E154" s="54"/>
      <c r="F154" s="77"/>
      <c r="G154" s="77"/>
      <c r="H154" s="78"/>
      <c r="I154" s="54"/>
      <c r="J154" s="39"/>
      <c r="K154" s="54"/>
      <c r="P154" s="22">
        <f t="shared" si="104"/>
        <v>0</v>
      </c>
      <c r="Q154" s="22" t="str">
        <f t="shared" si="106"/>
        <v>00</v>
      </c>
      <c r="R154" s="22">
        <f t="shared" si="105"/>
        <v>0</v>
      </c>
      <c r="S154" s="22" t="str">
        <f t="shared" si="107"/>
        <v>00</v>
      </c>
      <c r="T154" s="22">
        <f t="shared" si="110"/>
        <v>1900</v>
      </c>
      <c r="U154" s="22">
        <f t="shared" si="110"/>
        <v>1900</v>
      </c>
      <c r="W154" s="22" t="str">
        <f t="shared" si="108"/>
        <v>190000</v>
      </c>
      <c r="X154" s="22" t="str">
        <f t="shared" si="109"/>
        <v>190000</v>
      </c>
    </row>
    <row r="155" spans="2:24">
      <c r="B155" s="22"/>
      <c r="C155" s="22"/>
      <c r="D155" s="77"/>
      <c r="E155" s="54"/>
      <c r="F155" s="77"/>
      <c r="G155" s="77"/>
      <c r="H155" s="78"/>
      <c r="I155" s="54"/>
      <c r="J155" s="39"/>
      <c r="K155" s="54"/>
      <c r="P155" s="22">
        <f t="shared" si="104"/>
        <v>0</v>
      </c>
      <c r="Q155" s="22" t="str">
        <f t="shared" si="106"/>
        <v>00</v>
      </c>
      <c r="R155" s="22">
        <f t="shared" si="105"/>
        <v>0</v>
      </c>
      <c r="S155" s="22" t="str">
        <f t="shared" si="107"/>
        <v>00</v>
      </c>
      <c r="T155" s="22">
        <f t="shared" si="110"/>
        <v>1900</v>
      </c>
      <c r="U155" s="22">
        <f t="shared" si="110"/>
        <v>1900</v>
      </c>
      <c r="W155" s="22" t="str">
        <f t="shared" si="108"/>
        <v>190000</v>
      </c>
      <c r="X155" s="22" t="str">
        <f t="shared" si="109"/>
        <v>190000</v>
      </c>
    </row>
    <row r="156" spans="2:24">
      <c r="B156" s="22"/>
      <c r="C156" s="22"/>
      <c r="D156" s="77"/>
      <c r="E156" s="54"/>
      <c r="F156" s="77"/>
      <c r="G156" s="77"/>
      <c r="H156" s="78"/>
      <c r="I156" s="54"/>
      <c r="J156" s="39"/>
      <c r="K156" s="54"/>
      <c r="P156" s="22">
        <f t="shared" si="104"/>
        <v>0</v>
      </c>
      <c r="Q156" s="22" t="str">
        <f t="shared" si="106"/>
        <v>00</v>
      </c>
      <c r="R156" s="22">
        <f t="shared" si="105"/>
        <v>0</v>
      </c>
      <c r="S156" s="22" t="str">
        <f t="shared" si="107"/>
        <v>00</v>
      </c>
      <c r="T156" s="22">
        <f t="shared" si="110"/>
        <v>1900</v>
      </c>
      <c r="U156" s="22">
        <f t="shared" si="110"/>
        <v>1900</v>
      </c>
      <c r="W156" s="22" t="str">
        <f t="shared" si="108"/>
        <v>190000</v>
      </c>
      <c r="X156" s="22" t="str">
        <f t="shared" si="109"/>
        <v>190000</v>
      </c>
    </row>
    <row r="157" spans="2:24">
      <c r="B157" s="22"/>
      <c r="C157" s="22"/>
      <c r="D157" s="77"/>
      <c r="E157" s="54"/>
      <c r="F157" s="77"/>
      <c r="G157" s="77"/>
      <c r="H157" s="78"/>
      <c r="I157" s="54"/>
      <c r="J157" s="39"/>
      <c r="K157" s="54"/>
      <c r="P157" s="22">
        <f t="shared" si="104"/>
        <v>0</v>
      </c>
      <c r="Q157" s="22" t="str">
        <f t="shared" si="106"/>
        <v>00</v>
      </c>
      <c r="R157" s="22">
        <f t="shared" si="105"/>
        <v>0</v>
      </c>
      <c r="S157" s="22" t="str">
        <f t="shared" si="107"/>
        <v>00</v>
      </c>
      <c r="T157" s="22">
        <f t="shared" si="110"/>
        <v>1900</v>
      </c>
      <c r="U157" s="22">
        <f t="shared" si="110"/>
        <v>1900</v>
      </c>
      <c r="W157" s="22" t="str">
        <f t="shared" si="108"/>
        <v>190000</v>
      </c>
      <c r="X157" s="22" t="str">
        <f t="shared" si="109"/>
        <v>190000</v>
      </c>
    </row>
    <row r="158" spans="2:24">
      <c r="B158" s="22"/>
      <c r="C158" s="22"/>
      <c r="D158" s="77"/>
      <c r="E158" s="54"/>
      <c r="F158" s="77"/>
      <c r="G158" s="77"/>
      <c r="H158" s="78"/>
      <c r="I158" s="54"/>
      <c r="J158" s="39"/>
      <c r="K158" s="54"/>
      <c r="P158" s="22">
        <f t="shared" si="104"/>
        <v>0</v>
      </c>
      <c r="Q158" s="22" t="str">
        <f t="shared" si="106"/>
        <v>00</v>
      </c>
      <c r="R158" s="22">
        <f t="shared" si="105"/>
        <v>0</v>
      </c>
      <c r="S158" s="22" t="str">
        <f t="shared" si="107"/>
        <v>00</v>
      </c>
      <c r="T158" s="22">
        <f t="shared" si="110"/>
        <v>1900</v>
      </c>
      <c r="U158" s="22">
        <f t="shared" si="110"/>
        <v>1900</v>
      </c>
      <c r="W158" s="22" t="str">
        <f t="shared" si="108"/>
        <v>190000</v>
      </c>
      <c r="X158" s="22" t="str">
        <f t="shared" si="109"/>
        <v>190000</v>
      </c>
    </row>
    <row r="159" spans="2:24">
      <c r="B159" s="22"/>
      <c r="C159" s="22"/>
      <c r="D159" s="77"/>
      <c r="E159" s="54"/>
      <c r="F159" s="77"/>
      <c r="G159" s="77"/>
      <c r="H159" s="78"/>
      <c r="I159" s="54"/>
      <c r="J159" s="39"/>
      <c r="K159" s="54"/>
      <c r="P159" s="22">
        <f t="shared" si="104"/>
        <v>0</v>
      </c>
      <c r="Q159" s="22" t="str">
        <f t="shared" si="106"/>
        <v>00</v>
      </c>
      <c r="R159" s="22">
        <f t="shared" si="105"/>
        <v>0</v>
      </c>
      <c r="S159" s="22" t="str">
        <f t="shared" si="107"/>
        <v>00</v>
      </c>
      <c r="T159" s="22">
        <f t="shared" si="110"/>
        <v>1900</v>
      </c>
      <c r="U159" s="22">
        <f t="shared" si="110"/>
        <v>1900</v>
      </c>
      <c r="W159" s="22" t="str">
        <f t="shared" si="108"/>
        <v>190000</v>
      </c>
      <c r="X159" s="22" t="str">
        <f t="shared" si="109"/>
        <v>190000</v>
      </c>
    </row>
    <row r="160" spans="2:24">
      <c r="B160" s="22"/>
      <c r="C160" s="22"/>
      <c r="D160" s="77"/>
      <c r="E160" s="54"/>
      <c r="F160" s="77"/>
      <c r="G160" s="77"/>
      <c r="H160" s="78"/>
      <c r="I160" s="54"/>
      <c r="J160" s="39"/>
      <c r="K160" s="54"/>
      <c r="P160" s="22">
        <f t="shared" si="104"/>
        <v>0</v>
      </c>
      <c r="Q160" s="22" t="str">
        <f t="shared" si="106"/>
        <v>00</v>
      </c>
      <c r="R160" s="22">
        <f t="shared" si="105"/>
        <v>0</v>
      </c>
      <c r="S160" s="22" t="str">
        <f t="shared" si="107"/>
        <v>00</v>
      </c>
      <c r="T160" s="22">
        <f t="shared" si="110"/>
        <v>1900</v>
      </c>
      <c r="U160" s="22">
        <f t="shared" si="110"/>
        <v>1900</v>
      </c>
      <c r="W160" s="22" t="str">
        <f t="shared" si="108"/>
        <v>190000</v>
      </c>
      <c r="X160" s="22" t="str">
        <f t="shared" si="109"/>
        <v>190000</v>
      </c>
    </row>
    <row r="161" spans="2:24">
      <c r="B161" s="22"/>
      <c r="C161" s="22"/>
      <c r="D161" s="77"/>
      <c r="E161" s="54"/>
      <c r="F161" s="77"/>
      <c r="G161" s="77"/>
      <c r="H161" s="78"/>
      <c r="I161" s="54"/>
      <c r="J161" s="39"/>
      <c r="K161" s="54"/>
      <c r="P161" s="22">
        <f t="shared" si="104"/>
        <v>0</v>
      </c>
      <c r="Q161" s="22" t="str">
        <f t="shared" si="106"/>
        <v>00</v>
      </c>
      <c r="R161" s="22">
        <f t="shared" si="105"/>
        <v>0</v>
      </c>
      <c r="S161" s="22" t="str">
        <f t="shared" si="107"/>
        <v>00</v>
      </c>
      <c r="T161" s="22">
        <f t="shared" si="110"/>
        <v>1900</v>
      </c>
      <c r="U161" s="22">
        <f t="shared" si="110"/>
        <v>1900</v>
      </c>
      <c r="W161" s="22" t="str">
        <f t="shared" si="108"/>
        <v>190000</v>
      </c>
      <c r="X161" s="22" t="str">
        <f t="shared" si="109"/>
        <v>190000</v>
      </c>
    </row>
    <row r="162" spans="2:24">
      <c r="B162" s="22"/>
      <c r="C162" s="22"/>
      <c r="D162" s="77"/>
      <c r="E162" s="54"/>
      <c r="F162" s="77"/>
      <c r="G162" s="77"/>
      <c r="H162" s="78"/>
      <c r="I162" s="54"/>
      <c r="J162" s="39"/>
      <c r="K162" s="54"/>
      <c r="P162" s="22">
        <f t="shared" si="104"/>
        <v>0</v>
      </c>
      <c r="Q162" s="22" t="str">
        <f t="shared" si="106"/>
        <v>00</v>
      </c>
      <c r="R162" s="22">
        <f t="shared" si="105"/>
        <v>0</v>
      </c>
      <c r="S162" s="22" t="str">
        <f t="shared" si="107"/>
        <v>00</v>
      </c>
      <c r="T162" s="22">
        <f t="shared" si="110"/>
        <v>1900</v>
      </c>
      <c r="U162" s="22">
        <f t="shared" si="110"/>
        <v>1900</v>
      </c>
      <c r="W162" s="22" t="str">
        <f t="shared" si="108"/>
        <v>190000</v>
      </c>
      <c r="X162" s="22" t="str">
        <f t="shared" si="109"/>
        <v>190000</v>
      </c>
    </row>
    <row r="163" spans="2:24">
      <c r="B163" s="22"/>
      <c r="C163" s="22"/>
      <c r="D163" s="77"/>
      <c r="E163" s="54"/>
      <c r="F163" s="77"/>
      <c r="G163" s="77"/>
      <c r="H163" s="78"/>
      <c r="I163" s="54"/>
      <c r="J163" s="39"/>
      <c r="K163" s="54"/>
      <c r="P163" s="22">
        <f t="shared" si="104"/>
        <v>0</v>
      </c>
      <c r="Q163" s="22" t="str">
        <f t="shared" si="106"/>
        <v>00</v>
      </c>
      <c r="R163" s="22">
        <f t="shared" si="105"/>
        <v>0</v>
      </c>
      <c r="S163" s="22" t="str">
        <f t="shared" si="107"/>
        <v>00</v>
      </c>
      <c r="T163" s="22">
        <f t="shared" si="110"/>
        <v>1900</v>
      </c>
      <c r="U163" s="22">
        <f t="shared" si="110"/>
        <v>1900</v>
      </c>
      <c r="W163" s="22" t="str">
        <f t="shared" si="108"/>
        <v>190000</v>
      </c>
      <c r="X163" s="22" t="str">
        <f t="shared" si="109"/>
        <v>190000</v>
      </c>
    </row>
    <row r="164" spans="2:24">
      <c r="B164" s="22"/>
      <c r="C164" s="22"/>
      <c r="D164" s="77"/>
      <c r="E164" s="54"/>
      <c r="F164" s="77"/>
      <c r="G164" s="77"/>
      <c r="H164" s="78"/>
      <c r="I164" s="54"/>
      <c r="J164" s="39"/>
      <c r="K164" s="54"/>
      <c r="P164" s="22">
        <f t="shared" si="104"/>
        <v>0</v>
      </c>
      <c r="Q164" s="22" t="str">
        <f t="shared" si="106"/>
        <v>00</v>
      </c>
      <c r="R164" s="22">
        <f t="shared" si="105"/>
        <v>0</v>
      </c>
      <c r="S164" s="22" t="str">
        <f t="shared" si="107"/>
        <v>00</v>
      </c>
      <c r="T164" s="22">
        <f t="shared" si="110"/>
        <v>1900</v>
      </c>
      <c r="U164" s="22">
        <f t="shared" si="110"/>
        <v>1900</v>
      </c>
      <c r="W164" s="22" t="str">
        <f t="shared" si="108"/>
        <v>190000</v>
      </c>
      <c r="X164" s="22" t="str">
        <f t="shared" si="109"/>
        <v>190000</v>
      </c>
    </row>
    <row r="165" spans="2:24">
      <c r="B165" s="22"/>
      <c r="C165" s="22"/>
      <c r="D165" s="77"/>
      <c r="E165" s="54"/>
      <c r="F165" s="77"/>
      <c r="G165" s="77"/>
      <c r="H165" s="78"/>
      <c r="I165" s="54"/>
      <c r="J165" s="39"/>
      <c r="K165" s="54"/>
      <c r="P165" s="22">
        <f t="shared" si="104"/>
        <v>0</v>
      </c>
      <c r="Q165" s="22" t="str">
        <f t="shared" si="106"/>
        <v>00</v>
      </c>
      <c r="R165" s="22">
        <f t="shared" si="105"/>
        <v>0</v>
      </c>
      <c r="S165" s="22" t="str">
        <f t="shared" si="107"/>
        <v>00</v>
      </c>
      <c r="T165" s="22">
        <f t="shared" si="110"/>
        <v>1900</v>
      </c>
      <c r="U165" s="22">
        <f t="shared" si="110"/>
        <v>1900</v>
      </c>
      <c r="W165" s="22" t="str">
        <f t="shared" si="108"/>
        <v>190000</v>
      </c>
      <c r="X165" s="22" t="str">
        <f t="shared" si="109"/>
        <v>190000</v>
      </c>
    </row>
    <row r="166" spans="2:24">
      <c r="B166" s="22"/>
      <c r="C166" s="22"/>
      <c r="D166" s="77"/>
      <c r="E166" s="54"/>
      <c r="F166" s="77"/>
      <c r="G166" s="77"/>
      <c r="H166" s="78"/>
      <c r="I166" s="54"/>
      <c r="J166" s="39"/>
      <c r="K166" s="54"/>
      <c r="P166" s="22">
        <f t="shared" si="104"/>
        <v>0</v>
      </c>
      <c r="Q166" s="22" t="str">
        <f t="shared" si="106"/>
        <v>00</v>
      </c>
      <c r="R166" s="22">
        <f t="shared" si="105"/>
        <v>0</v>
      </c>
      <c r="S166" s="22" t="str">
        <f t="shared" si="107"/>
        <v>00</v>
      </c>
      <c r="T166" s="22">
        <f t="shared" si="110"/>
        <v>1900</v>
      </c>
      <c r="U166" s="22">
        <f t="shared" si="110"/>
        <v>1900</v>
      </c>
      <c r="W166" s="22" t="str">
        <f t="shared" si="108"/>
        <v>190000</v>
      </c>
      <c r="X166" s="22" t="str">
        <f t="shared" si="109"/>
        <v>190000</v>
      </c>
    </row>
    <row r="167" spans="2:24">
      <c r="B167" s="22"/>
      <c r="C167" s="22"/>
      <c r="D167" s="77"/>
      <c r="E167" s="54"/>
      <c r="F167" s="77"/>
      <c r="G167" s="77"/>
      <c r="H167" s="78"/>
      <c r="I167" s="54"/>
      <c r="J167" s="39"/>
      <c r="K167" s="54"/>
      <c r="P167" s="22">
        <f t="shared" si="104"/>
        <v>0</v>
      </c>
      <c r="Q167" s="22" t="str">
        <f t="shared" si="106"/>
        <v>00</v>
      </c>
      <c r="R167" s="22">
        <f t="shared" si="105"/>
        <v>0</v>
      </c>
      <c r="S167" s="22" t="str">
        <f t="shared" si="107"/>
        <v>00</v>
      </c>
      <c r="T167" s="22">
        <f t="shared" si="110"/>
        <v>1900</v>
      </c>
      <c r="U167" s="22">
        <f t="shared" si="110"/>
        <v>1900</v>
      </c>
      <c r="W167" s="22" t="str">
        <f t="shared" si="108"/>
        <v>190000</v>
      </c>
      <c r="X167" s="22" t="str">
        <f t="shared" si="109"/>
        <v>190000</v>
      </c>
    </row>
    <row r="168" spans="2:24">
      <c r="B168" s="22"/>
      <c r="C168" s="22"/>
      <c r="D168" s="77"/>
      <c r="E168" s="54"/>
      <c r="F168" s="77"/>
      <c r="G168" s="77"/>
      <c r="H168" s="78"/>
      <c r="I168" s="54"/>
      <c r="J168" s="39"/>
      <c r="K168" s="54"/>
      <c r="P168" s="22">
        <f t="shared" si="104"/>
        <v>0</v>
      </c>
      <c r="Q168" s="22" t="str">
        <f t="shared" si="106"/>
        <v>00</v>
      </c>
      <c r="R168" s="22">
        <f t="shared" si="105"/>
        <v>0</v>
      </c>
      <c r="S168" s="22" t="str">
        <f t="shared" si="107"/>
        <v>00</v>
      </c>
      <c r="T168" s="22">
        <f t="shared" si="110"/>
        <v>1900</v>
      </c>
      <c r="U168" s="22">
        <f t="shared" si="110"/>
        <v>1900</v>
      </c>
      <c r="W168" s="22" t="str">
        <f t="shared" si="108"/>
        <v>190000</v>
      </c>
      <c r="X168" s="22" t="str">
        <f t="shared" si="109"/>
        <v>190000</v>
      </c>
    </row>
    <row r="169" spans="2:24">
      <c r="B169" s="22"/>
      <c r="C169" s="22"/>
      <c r="D169" s="77"/>
      <c r="E169" s="54"/>
      <c r="F169" s="77"/>
      <c r="G169" s="77"/>
      <c r="H169" s="78"/>
      <c r="I169" s="54"/>
      <c r="J169" s="39"/>
      <c r="K169" s="54"/>
      <c r="P169" s="22">
        <f t="shared" si="104"/>
        <v>0</v>
      </c>
      <c r="Q169" s="22" t="str">
        <f t="shared" si="106"/>
        <v>00</v>
      </c>
      <c r="R169" s="22">
        <f t="shared" si="105"/>
        <v>0</v>
      </c>
      <c r="S169" s="22" t="str">
        <f t="shared" si="107"/>
        <v>00</v>
      </c>
      <c r="T169" s="22">
        <f t="shared" si="110"/>
        <v>1900</v>
      </c>
      <c r="U169" s="22">
        <f t="shared" si="110"/>
        <v>1900</v>
      </c>
      <c r="W169" s="22" t="str">
        <f t="shared" si="108"/>
        <v>190000</v>
      </c>
      <c r="X169" s="22" t="str">
        <f t="shared" si="109"/>
        <v>190000</v>
      </c>
    </row>
    <row r="170" spans="2:24">
      <c r="B170" s="22"/>
      <c r="C170" s="22"/>
      <c r="D170" s="77"/>
      <c r="E170" s="54"/>
      <c r="F170" s="77"/>
      <c r="G170" s="77"/>
      <c r="H170" s="78"/>
      <c r="I170" s="54"/>
      <c r="J170" s="39"/>
      <c r="K170" s="54"/>
      <c r="P170" s="22">
        <f t="shared" si="104"/>
        <v>0</v>
      </c>
      <c r="Q170" s="22" t="str">
        <f t="shared" si="106"/>
        <v>00</v>
      </c>
      <c r="R170" s="22">
        <f t="shared" si="105"/>
        <v>0</v>
      </c>
      <c r="S170" s="22" t="str">
        <f t="shared" si="107"/>
        <v>00</v>
      </c>
      <c r="T170" s="22">
        <f t="shared" si="110"/>
        <v>1900</v>
      </c>
      <c r="U170" s="22">
        <f t="shared" si="110"/>
        <v>1900</v>
      </c>
      <c r="W170" s="22" t="str">
        <f t="shared" si="108"/>
        <v>190000</v>
      </c>
      <c r="X170" s="22" t="str">
        <f t="shared" si="109"/>
        <v>190000</v>
      </c>
    </row>
    <row r="171" spans="2:24">
      <c r="B171" s="22"/>
      <c r="C171" s="22"/>
      <c r="D171" s="77"/>
      <c r="E171" s="54"/>
      <c r="F171" s="77"/>
      <c r="G171" s="77"/>
      <c r="H171" s="78"/>
      <c r="I171" s="54"/>
      <c r="J171" s="39"/>
      <c r="K171" s="54"/>
      <c r="P171" s="22">
        <f t="shared" si="104"/>
        <v>0</v>
      </c>
      <c r="Q171" s="22" t="str">
        <f t="shared" si="106"/>
        <v>00</v>
      </c>
      <c r="R171" s="22">
        <f t="shared" si="105"/>
        <v>0</v>
      </c>
      <c r="S171" s="22" t="str">
        <f t="shared" si="107"/>
        <v>00</v>
      </c>
      <c r="T171" s="22">
        <f t="shared" si="110"/>
        <v>1900</v>
      </c>
      <c r="U171" s="22">
        <f t="shared" si="110"/>
        <v>1900</v>
      </c>
      <c r="W171" s="22" t="str">
        <f t="shared" si="108"/>
        <v>190000</v>
      </c>
      <c r="X171" s="22" t="str">
        <f t="shared" si="109"/>
        <v>190000</v>
      </c>
    </row>
    <row r="172" spans="2:24">
      <c r="B172" s="22"/>
      <c r="C172" s="22"/>
      <c r="D172" s="77"/>
      <c r="E172" s="54"/>
      <c r="F172" s="77"/>
      <c r="G172" s="77"/>
      <c r="H172" s="78"/>
      <c r="I172" s="54"/>
      <c r="J172" s="39"/>
      <c r="K172" s="54"/>
      <c r="P172" s="22">
        <f t="shared" si="104"/>
        <v>0</v>
      </c>
      <c r="Q172" s="22" t="str">
        <f t="shared" si="106"/>
        <v>00</v>
      </c>
      <c r="R172" s="22">
        <f t="shared" si="105"/>
        <v>0</v>
      </c>
      <c r="S172" s="22" t="str">
        <f t="shared" si="107"/>
        <v>00</v>
      </c>
      <c r="T172" s="22">
        <f t="shared" si="110"/>
        <v>1900</v>
      </c>
      <c r="U172" s="22">
        <f t="shared" si="110"/>
        <v>1900</v>
      </c>
      <c r="W172" s="22" t="str">
        <f t="shared" si="108"/>
        <v>190000</v>
      </c>
      <c r="X172" s="22" t="str">
        <f t="shared" si="109"/>
        <v>190000</v>
      </c>
    </row>
    <row r="173" spans="2:24">
      <c r="B173" s="22"/>
      <c r="C173" s="22"/>
      <c r="D173" s="77"/>
      <c r="E173" s="54"/>
      <c r="F173" s="77"/>
      <c r="G173" s="77"/>
      <c r="H173" s="78"/>
      <c r="I173" s="54"/>
      <c r="J173" s="39"/>
      <c r="K173" s="54"/>
      <c r="P173" s="22">
        <f t="shared" si="104"/>
        <v>0</v>
      </c>
      <c r="Q173" s="22" t="str">
        <f t="shared" si="106"/>
        <v>00</v>
      </c>
      <c r="R173" s="22">
        <f t="shared" si="105"/>
        <v>0</v>
      </c>
      <c r="S173" s="22" t="str">
        <f t="shared" si="107"/>
        <v>00</v>
      </c>
      <c r="T173" s="22">
        <f t="shared" si="110"/>
        <v>1900</v>
      </c>
      <c r="U173" s="22">
        <f t="shared" si="110"/>
        <v>1900</v>
      </c>
      <c r="W173" s="22" t="str">
        <f t="shared" si="108"/>
        <v>190000</v>
      </c>
      <c r="X173" s="22" t="str">
        <f t="shared" si="109"/>
        <v>190000</v>
      </c>
    </row>
    <row r="174" spans="2:24">
      <c r="B174" s="22"/>
      <c r="C174" s="22"/>
      <c r="D174" s="77"/>
      <c r="E174" s="54"/>
      <c r="F174" s="77"/>
      <c r="G174" s="77"/>
      <c r="H174" s="78"/>
      <c r="I174" s="54"/>
      <c r="J174" s="39"/>
      <c r="K174" s="54"/>
      <c r="P174" s="22">
        <f t="shared" si="104"/>
        <v>0</v>
      </c>
      <c r="Q174" s="22" t="str">
        <f t="shared" si="106"/>
        <v>00</v>
      </c>
      <c r="R174" s="22">
        <f t="shared" si="105"/>
        <v>0</v>
      </c>
      <c r="S174" s="22" t="str">
        <f t="shared" si="107"/>
        <v>00</v>
      </c>
      <c r="T174" s="22">
        <f t="shared" si="110"/>
        <v>1900</v>
      </c>
      <c r="U174" s="22">
        <f t="shared" si="110"/>
        <v>1900</v>
      </c>
      <c r="W174" s="22" t="str">
        <f t="shared" si="108"/>
        <v>190000</v>
      </c>
      <c r="X174" s="22" t="str">
        <f t="shared" si="109"/>
        <v>190000</v>
      </c>
    </row>
    <row r="175" spans="2:24">
      <c r="B175" s="22"/>
      <c r="C175" s="22"/>
      <c r="D175" s="77"/>
      <c r="E175" s="54"/>
      <c r="F175" s="77"/>
      <c r="G175" s="77"/>
      <c r="H175" s="78"/>
      <c r="I175" s="54"/>
      <c r="J175" s="39"/>
      <c r="K175" s="54"/>
      <c r="P175" s="22">
        <f t="shared" si="104"/>
        <v>0</v>
      </c>
      <c r="Q175" s="22" t="str">
        <f t="shared" si="106"/>
        <v>00</v>
      </c>
      <c r="R175" s="22">
        <f t="shared" si="105"/>
        <v>0</v>
      </c>
      <c r="S175" s="22" t="str">
        <f t="shared" si="107"/>
        <v>00</v>
      </c>
      <c r="T175" s="22">
        <f t="shared" si="110"/>
        <v>1900</v>
      </c>
      <c r="U175" s="22">
        <f t="shared" si="110"/>
        <v>1900</v>
      </c>
      <c r="W175" s="22" t="str">
        <f t="shared" si="108"/>
        <v>190000</v>
      </c>
      <c r="X175" s="22" t="str">
        <f t="shared" si="109"/>
        <v>190000</v>
      </c>
    </row>
    <row r="176" spans="2:24">
      <c r="B176" s="22"/>
      <c r="C176" s="22"/>
      <c r="D176" s="77"/>
      <c r="E176" s="54"/>
      <c r="F176" s="77"/>
      <c r="G176" s="77"/>
      <c r="H176" s="78"/>
      <c r="I176" s="54"/>
      <c r="J176" s="39"/>
      <c r="K176" s="54"/>
      <c r="P176" s="22">
        <f t="shared" si="104"/>
        <v>0</v>
      </c>
      <c r="Q176" s="22" t="str">
        <f t="shared" si="106"/>
        <v>00</v>
      </c>
      <c r="R176" s="22">
        <f t="shared" si="105"/>
        <v>0</v>
      </c>
      <c r="S176" s="22" t="str">
        <f t="shared" si="107"/>
        <v>00</v>
      </c>
      <c r="T176" s="22">
        <f t="shared" si="110"/>
        <v>1900</v>
      </c>
      <c r="U176" s="22">
        <f t="shared" si="110"/>
        <v>1900</v>
      </c>
      <c r="W176" s="22" t="str">
        <f t="shared" si="108"/>
        <v>190000</v>
      </c>
      <c r="X176" s="22" t="str">
        <f t="shared" si="109"/>
        <v>190000</v>
      </c>
    </row>
    <row r="177" spans="2:24">
      <c r="B177" s="22"/>
      <c r="C177" s="22"/>
      <c r="D177" s="77"/>
      <c r="E177" s="54"/>
      <c r="F177" s="77"/>
      <c r="G177" s="77"/>
      <c r="H177" s="78"/>
      <c r="I177" s="54"/>
      <c r="J177" s="39"/>
      <c r="K177" s="54"/>
      <c r="P177" s="22">
        <f t="shared" si="104"/>
        <v>0</v>
      </c>
      <c r="Q177" s="22" t="str">
        <f t="shared" si="106"/>
        <v>00</v>
      </c>
      <c r="R177" s="22">
        <f t="shared" si="105"/>
        <v>0</v>
      </c>
      <c r="S177" s="22" t="str">
        <f t="shared" si="107"/>
        <v>00</v>
      </c>
      <c r="T177" s="22">
        <f t="shared" si="110"/>
        <v>1900</v>
      </c>
      <c r="U177" s="22">
        <f t="shared" si="110"/>
        <v>1900</v>
      </c>
      <c r="W177" s="22" t="str">
        <f t="shared" si="108"/>
        <v>190000</v>
      </c>
      <c r="X177" s="22" t="str">
        <f t="shared" si="109"/>
        <v>190000</v>
      </c>
    </row>
    <row r="178" spans="2:24">
      <c r="B178" s="22"/>
      <c r="C178" s="22"/>
      <c r="D178" s="77"/>
      <c r="E178" s="54"/>
      <c r="F178" s="77"/>
      <c r="G178" s="77"/>
      <c r="H178" s="78"/>
      <c r="I178" s="54"/>
      <c r="J178" s="39"/>
      <c r="K178" s="54"/>
      <c r="P178" s="22">
        <f t="shared" si="104"/>
        <v>0</v>
      </c>
      <c r="Q178" s="22" t="str">
        <f t="shared" si="106"/>
        <v>00</v>
      </c>
      <c r="R178" s="22">
        <f t="shared" si="105"/>
        <v>0</v>
      </c>
      <c r="S178" s="22" t="str">
        <f t="shared" si="107"/>
        <v>00</v>
      </c>
      <c r="T178" s="22">
        <f t="shared" si="110"/>
        <v>1900</v>
      </c>
      <c r="U178" s="22">
        <f t="shared" si="110"/>
        <v>1900</v>
      </c>
      <c r="W178" s="22" t="str">
        <f t="shared" si="108"/>
        <v>190000</v>
      </c>
      <c r="X178" s="22" t="str">
        <f t="shared" si="109"/>
        <v>190000</v>
      </c>
    </row>
    <row r="179" spans="2:24">
      <c r="B179" s="22"/>
      <c r="C179" s="22"/>
      <c r="D179" s="77"/>
      <c r="E179" s="54"/>
      <c r="F179" s="77"/>
      <c r="G179" s="77"/>
      <c r="H179" s="78"/>
      <c r="I179" s="54"/>
      <c r="J179" s="39"/>
      <c r="K179" s="54"/>
      <c r="P179" s="22">
        <f t="shared" si="104"/>
        <v>0</v>
      </c>
      <c r="Q179" s="22" t="str">
        <f t="shared" si="106"/>
        <v>00</v>
      </c>
      <c r="R179" s="22">
        <f t="shared" si="105"/>
        <v>0</v>
      </c>
      <c r="S179" s="22" t="str">
        <f t="shared" si="107"/>
        <v>00</v>
      </c>
      <c r="T179" s="22">
        <f t="shared" si="110"/>
        <v>1900</v>
      </c>
      <c r="U179" s="22">
        <f t="shared" si="110"/>
        <v>1900</v>
      </c>
      <c r="W179" s="22" t="str">
        <f t="shared" si="108"/>
        <v>190000</v>
      </c>
      <c r="X179" s="22" t="str">
        <f t="shared" si="109"/>
        <v>190000</v>
      </c>
    </row>
    <row r="180" spans="2:24">
      <c r="B180" s="22"/>
      <c r="C180" s="22"/>
      <c r="D180" s="77"/>
      <c r="E180" s="54"/>
      <c r="F180" s="77"/>
      <c r="G180" s="77"/>
      <c r="H180" s="78"/>
      <c r="I180" s="54"/>
      <c r="J180" s="39"/>
      <c r="K180" s="54"/>
      <c r="P180" s="22">
        <f t="shared" si="104"/>
        <v>0</v>
      </c>
      <c r="Q180" s="22" t="str">
        <f t="shared" si="106"/>
        <v>00</v>
      </c>
      <c r="R180" s="22">
        <f t="shared" si="105"/>
        <v>0</v>
      </c>
      <c r="S180" s="22" t="str">
        <f t="shared" si="107"/>
        <v>00</v>
      </c>
      <c r="T180" s="22">
        <f t="shared" si="110"/>
        <v>1900</v>
      </c>
      <c r="U180" s="22">
        <f t="shared" si="110"/>
        <v>1900</v>
      </c>
      <c r="W180" s="22" t="str">
        <f t="shared" si="108"/>
        <v>190000</v>
      </c>
      <c r="X180" s="22" t="str">
        <f t="shared" si="109"/>
        <v>190000</v>
      </c>
    </row>
    <row r="181" spans="2:24">
      <c r="B181" s="22"/>
      <c r="C181" s="22"/>
      <c r="D181" s="77"/>
      <c r="E181" s="54"/>
      <c r="F181" s="77"/>
      <c r="G181" s="77"/>
      <c r="H181" s="78"/>
      <c r="I181" s="54"/>
      <c r="J181" s="39"/>
      <c r="K181" s="54"/>
      <c r="P181" s="22">
        <f t="shared" si="104"/>
        <v>0</v>
      </c>
      <c r="Q181" s="22" t="str">
        <f t="shared" si="106"/>
        <v>00</v>
      </c>
      <c r="R181" s="22">
        <f t="shared" si="105"/>
        <v>0</v>
      </c>
      <c r="S181" s="22" t="str">
        <f t="shared" si="107"/>
        <v>00</v>
      </c>
      <c r="T181" s="22">
        <f t="shared" si="110"/>
        <v>1900</v>
      </c>
      <c r="U181" s="22">
        <f t="shared" si="110"/>
        <v>1900</v>
      </c>
      <c r="W181" s="22" t="str">
        <f t="shared" si="108"/>
        <v>190000</v>
      </c>
      <c r="X181" s="22" t="str">
        <f t="shared" si="109"/>
        <v>190000</v>
      </c>
    </row>
    <row r="182" spans="2:24">
      <c r="B182" s="22"/>
      <c r="C182" s="22"/>
      <c r="D182" s="77"/>
      <c r="E182" s="54"/>
      <c r="F182" s="77"/>
      <c r="G182" s="77"/>
      <c r="H182" s="78"/>
      <c r="I182" s="54"/>
      <c r="J182" s="39"/>
      <c r="K182" s="54"/>
      <c r="P182" s="22">
        <f t="shared" si="104"/>
        <v>0</v>
      </c>
      <c r="Q182" s="22" t="str">
        <f t="shared" si="106"/>
        <v>00</v>
      </c>
      <c r="R182" s="22">
        <f t="shared" si="105"/>
        <v>0</v>
      </c>
      <c r="S182" s="22" t="str">
        <f t="shared" si="107"/>
        <v>00</v>
      </c>
      <c r="T182" s="22">
        <f t="shared" si="110"/>
        <v>1900</v>
      </c>
      <c r="U182" s="22">
        <f t="shared" si="110"/>
        <v>1900</v>
      </c>
      <c r="W182" s="22" t="str">
        <f t="shared" si="108"/>
        <v>190000</v>
      </c>
      <c r="X182" s="22" t="str">
        <f t="shared" si="109"/>
        <v>190000</v>
      </c>
    </row>
    <row r="183" spans="2:24">
      <c r="B183" s="22"/>
      <c r="C183" s="22"/>
      <c r="D183" s="77"/>
      <c r="E183" s="54"/>
      <c r="F183" s="77"/>
      <c r="G183" s="77"/>
      <c r="H183" s="78"/>
      <c r="I183" s="54"/>
      <c r="J183" s="39"/>
      <c r="K183" s="54"/>
      <c r="P183" s="22">
        <f t="shared" si="104"/>
        <v>0</v>
      </c>
      <c r="Q183" s="22" t="str">
        <f t="shared" si="106"/>
        <v>00</v>
      </c>
      <c r="R183" s="22">
        <f t="shared" si="105"/>
        <v>0</v>
      </c>
      <c r="S183" s="22" t="str">
        <f t="shared" si="107"/>
        <v>00</v>
      </c>
      <c r="T183" s="22">
        <f t="shared" si="110"/>
        <v>1900</v>
      </c>
      <c r="U183" s="22">
        <f t="shared" si="110"/>
        <v>1900</v>
      </c>
      <c r="W183" s="22" t="str">
        <f t="shared" si="108"/>
        <v>190000</v>
      </c>
      <c r="X183" s="22" t="str">
        <f t="shared" si="109"/>
        <v>190000</v>
      </c>
    </row>
    <row r="184" spans="2:24">
      <c r="B184" s="22"/>
      <c r="C184" s="22"/>
      <c r="D184" s="77"/>
      <c r="E184" s="54"/>
      <c r="F184" s="77"/>
      <c r="G184" s="77"/>
      <c r="H184" s="78"/>
      <c r="I184" s="54"/>
      <c r="J184" s="39"/>
      <c r="K184" s="54"/>
      <c r="P184" s="22">
        <f t="shared" si="104"/>
        <v>0</v>
      </c>
      <c r="Q184" s="22" t="str">
        <f t="shared" si="106"/>
        <v>00</v>
      </c>
      <c r="R184" s="22">
        <f t="shared" si="105"/>
        <v>0</v>
      </c>
      <c r="S184" s="22" t="str">
        <f t="shared" si="107"/>
        <v>00</v>
      </c>
      <c r="T184" s="22">
        <f t="shared" si="110"/>
        <v>1900</v>
      </c>
      <c r="U184" s="22">
        <f t="shared" si="110"/>
        <v>1900</v>
      </c>
      <c r="W184" s="22" t="str">
        <f t="shared" si="108"/>
        <v>190000</v>
      </c>
      <c r="X184" s="22" t="str">
        <f t="shared" si="109"/>
        <v>190000</v>
      </c>
    </row>
    <row r="185" spans="2:24">
      <c r="B185" s="22"/>
      <c r="C185" s="22"/>
      <c r="D185" s="77"/>
      <c r="E185" s="54"/>
      <c r="F185" s="77"/>
      <c r="G185" s="77"/>
      <c r="H185" s="78"/>
      <c r="I185" s="54"/>
      <c r="J185" s="39"/>
      <c r="K185" s="54"/>
      <c r="P185" s="22">
        <f t="shared" si="104"/>
        <v>0</v>
      </c>
      <c r="Q185" s="22" t="str">
        <f t="shared" si="106"/>
        <v>00</v>
      </c>
      <c r="R185" s="22">
        <f t="shared" si="105"/>
        <v>0</v>
      </c>
      <c r="S185" s="22" t="str">
        <f t="shared" si="107"/>
        <v>00</v>
      </c>
      <c r="T185" s="22">
        <f t="shared" si="110"/>
        <v>1900</v>
      </c>
      <c r="U185" s="22">
        <f t="shared" si="110"/>
        <v>1900</v>
      </c>
      <c r="W185" s="22" t="str">
        <f t="shared" si="108"/>
        <v>190000</v>
      </c>
      <c r="X185" s="22" t="str">
        <f t="shared" si="109"/>
        <v>190000</v>
      </c>
    </row>
    <row r="186" spans="2:24">
      <c r="B186" s="22"/>
      <c r="C186" s="22"/>
      <c r="D186" s="77"/>
      <c r="E186" s="54"/>
      <c r="F186" s="77"/>
      <c r="G186" s="77"/>
      <c r="H186" s="78"/>
      <c r="I186" s="54"/>
      <c r="J186" s="39"/>
      <c r="K186" s="54"/>
      <c r="P186" s="22">
        <f t="shared" si="104"/>
        <v>0</v>
      </c>
      <c r="Q186" s="22" t="str">
        <f t="shared" si="106"/>
        <v>00</v>
      </c>
      <c r="R186" s="22">
        <f t="shared" si="105"/>
        <v>0</v>
      </c>
      <c r="S186" s="22" t="str">
        <f t="shared" si="107"/>
        <v>00</v>
      </c>
      <c r="T186" s="22">
        <f t="shared" si="110"/>
        <v>1900</v>
      </c>
      <c r="U186" s="22">
        <f t="shared" si="110"/>
        <v>1900</v>
      </c>
      <c r="W186" s="22" t="str">
        <f t="shared" si="108"/>
        <v>190000</v>
      </c>
      <c r="X186" s="22" t="str">
        <f t="shared" si="109"/>
        <v>190000</v>
      </c>
    </row>
    <row r="187" spans="2:24">
      <c r="B187" s="22"/>
      <c r="C187" s="22"/>
      <c r="D187" s="77"/>
      <c r="E187" s="54"/>
      <c r="F187" s="77"/>
      <c r="G187" s="77"/>
      <c r="H187" s="78"/>
      <c r="I187" s="54"/>
      <c r="J187" s="39"/>
      <c r="K187" s="54"/>
      <c r="P187" s="22">
        <f t="shared" si="104"/>
        <v>0</v>
      </c>
      <c r="Q187" s="22" t="str">
        <f t="shared" si="106"/>
        <v>00</v>
      </c>
      <c r="R187" s="22">
        <f t="shared" si="105"/>
        <v>0</v>
      </c>
      <c r="S187" s="22" t="str">
        <f t="shared" si="107"/>
        <v>00</v>
      </c>
      <c r="T187" s="22">
        <f t="shared" si="110"/>
        <v>1900</v>
      </c>
      <c r="U187" s="22">
        <f t="shared" si="110"/>
        <v>1900</v>
      </c>
      <c r="W187" s="22" t="str">
        <f t="shared" si="108"/>
        <v>190000</v>
      </c>
      <c r="X187" s="22" t="str">
        <f t="shared" si="109"/>
        <v>190000</v>
      </c>
    </row>
    <row r="188" spans="2:24">
      <c r="B188" s="22"/>
      <c r="C188" s="22"/>
      <c r="D188" s="77"/>
      <c r="E188" s="54"/>
      <c r="F188" s="77"/>
      <c r="G188" s="77"/>
      <c r="H188" s="78"/>
      <c r="I188" s="54"/>
      <c r="J188" s="39"/>
      <c r="K188" s="54"/>
      <c r="P188" s="22">
        <f t="shared" si="104"/>
        <v>0</v>
      </c>
      <c r="Q188" s="22" t="str">
        <f t="shared" si="106"/>
        <v>00</v>
      </c>
      <c r="R188" s="22">
        <f t="shared" si="105"/>
        <v>0</v>
      </c>
      <c r="S188" s="22" t="str">
        <f t="shared" si="107"/>
        <v>00</v>
      </c>
      <c r="T188" s="22">
        <f t="shared" si="110"/>
        <v>1900</v>
      </c>
      <c r="U188" s="22">
        <f t="shared" si="110"/>
        <v>1900</v>
      </c>
      <c r="W188" s="22" t="str">
        <f t="shared" si="108"/>
        <v>190000</v>
      </c>
      <c r="X188" s="22" t="str">
        <f t="shared" si="109"/>
        <v>190000</v>
      </c>
    </row>
    <row r="189" spans="2:24">
      <c r="B189" s="22"/>
      <c r="C189" s="22"/>
      <c r="D189" s="77"/>
      <c r="E189" s="54"/>
      <c r="F189" s="77"/>
      <c r="G189" s="77"/>
      <c r="H189" s="78"/>
      <c r="I189" s="54"/>
      <c r="J189" s="39"/>
      <c r="K189" s="54"/>
      <c r="P189" s="22">
        <f t="shared" si="104"/>
        <v>0</v>
      </c>
      <c r="Q189" s="22" t="str">
        <f t="shared" si="106"/>
        <v>00</v>
      </c>
      <c r="R189" s="22">
        <f t="shared" si="105"/>
        <v>0</v>
      </c>
      <c r="S189" s="22" t="str">
        <f t="shared" si="107"/>
        <v>00</v>
      </c>
      <c r="T189" s="22">
        <f t="shared" si="110"/>
        <v>1900</v>
      </c>
      <c r="U189" s="22">
        <f t="shared" si="110"/>
        <v>1900</v>
      </c>
      <c r="W189" s="22" t="str">
        <f t="shared" si="108"/>
        <v>190000</v>
      </c>
      <c r="X189" s="22" t="str">
        <f t="shared" si="109"/>
        <v>190000</v>
      </c>
    </row>
    <row r="190" spans="2:24">
      <c r="B190" s="22"/>
      <c r="C190" s="22"/>
      <c r="D190" s="77"/>
      <c r="E190" s="54"/>
      <c r="F190" s="77"/>
      <c r="G190" s="77"/>
      <c r="H190" s="78"/>
      <c r="I190" s="54"/>
      <c r="J190" s="39"/>
      <c r="K190" s="54"/>
      <c r="P190" s="22">
        <f t="shared" si="104"/>
        <v>0</v>
      </c>
      <c r="Q190" s="22" t="str">
        <f t="shared" si="106"/>
        <v>00</v>
      </c>
      <c r="R190" s="22">
        <f t="shared" si="105"/>
        <v>0</v>
      </c>
      <c r="S190" s="22" t="str">
        <f t="shared" si="107"/>
        <v>00</v>
      </c>
      <c r="T190" s="22">
        <f t="shared" si="110"/>
        <v>1900</v>
      </c>
      <c r="U190" s="22">
        <f t="shared" si="110"/>
        <v>1900</v>
      </c>
      <c r="W190" s="22" t="str">
        <f t="shared" si="108"/>
        <v>190000</v>
      </c>
      <c r="X190" s="22" t="str">
        <f t="shared" si="109"/>
        <v>190000</v>
      </c>
    </row>
    <row r="191" spans="2:24">
      <c r="B191" s="22"/>
      <c r="C191" s="22"/>
      <c r="D191" s="77"/>
      <c r="E191" s="54"/>
      <c r="F191" s="77"/>
      <c r="G191" s="77"/>
      <c r="H191" s="78"/>
      <c r="I191" s="54"/>
      <c r="J191" s="39"/>
      <c r="K191" s="54"/>
      <c r="P191" s="22">
        <f t="shared" si="104"/>
        <v>0</v>
      </c>
      <c r="Q191" s="22" t="str">
        <f t="shared" si="106"/>
        <v>00</v>
      </c>
      <c r="R191" s="22">
        <f t="shared" si="105"/>
        <v>0</v>
      </c>
      <c r="S191" s="22" t="str">
        <f t="shared" si="107"/>
        <v>00</v>
      </c>
      <c r="T191" s="22">
        <f t="shared" si="110"/>
        <v>1900</v>
      </c>
      <c r="U191" s="22">
        <f t="shared" si="110"/>
        <v>1900</v>
      </c>
      <c r="W191" s="22" t="str">
        <f t="shared" si="108"/>
        <v>190000</v>
      </c>
      <c r="X191" s="22" t="str">
        <f t="shared" si="109"/>
        <v>190000</v>
      </c>
    </row>
    <row r="192" spans="2:24">
      <c r="B192" s="22"/>
      <c r="C192" s="22"/>
      <c r="D192" s="77"/>
      <c r="E192" s="54"/>
      <c r="F192" s="77"/>
      <c r="G192" s="77"/>
      <c r="H192" s="78"/>
      <c r="I192" s="54"/>
      <c r="J192" s="39"/>
      <c r="K192" s="54"/>
      <c r="P192" s="22">
        <f t="shared" ref="P192:P255" si="111">WEEKNUM(F192,2)-1</f>
        <v>0</v>
      </c>
      <c r="Q192" s="22" t="str">
        <f t="shared" si="106"/>
        <v>00</v>
      </c>
      <c r="R192" s="22">
        <f t="shared" ref="R192:R255" si="112">WEEKNUM(G192,2)-1</f>
        <v>0</v>
      </c>
      <c r="S192" s="22" t="str">
        <f t="shared" si="107"/>
        <v>00</v>
      </c>
      <c r="T192" s="22">
        <f t="shared" si="110"/>
        <v>1900</v>
      </c>
      <c r="U192" s="22">
        <f t="shared" si="110"/>
        <v>1900</v>
      </c>
      <c r="W192" s="22" t="str">
        <f t="shared" si="108"/>
        <v>190000</v>
      </c>
      <c r="X192" s="22" t="str">
        <f t="shared" si="109"/>
        <v>190000</v>
      </c>
    </row>
    <row r="193" spans="2:24">
      <c r="B193" s="22"/>
      <c r="C193" s="22"/>
      <c r="D193" s="77"/>
      <c r="E193" s="54"/>
      <c r="F193" s="77"/>
      <c r="G193" s="77"/>
      <c r="H193" s="78"/>
      <c r="I193" s="54"/>
      <c r="J193" s="39"/>
      <c r="K193" s="54"/>
      <c r="P193" s="22">
        <f t="shared" si="111"/>
        <v>0</v>
      </c>
      <c r="Q193" s="22" t="str">
        <f t="shared" si="106"/>
        <v>00</v>
      </c>
      <c r="R193" s="22">
        <f t="shared" si="112"/>
        <v>0</v>
      </c>
      <c r="S193" s="22" t="str">
        <f t="shared" si="107"/>
        <v>00</v>
      </c>
      <c r="T193" s="22">
        <f t="shared" si="110"/>
        <v>1900</v>
      </c>
      <c r="U193" s="22">
        <f t="shared" si="110"/>
        <v>1900</v>
      </c>
      <c r="W193" s="22" t="str">
        <f t="shared" si="108"/>
        <v>190000</v>
      </c>
      <c r="X193" s="22" t="str">
        <f t="shared" si="109"/>
        <v>190000</v>
      </c>
    </row>
    <row r="194" spans="2:24">
      <c r="B194" s="22"/>
      <c r="C194" s="22"/>
      <c r="D194" s="77"/>
      <c r="E194" s="54"/>
      <c r="F194" s="77"/>
      <c r="G194" s="77"/>
      <c r="H194" s="78"/>
      <c r="I194" s="54"/>
      <c r="J194" s="39"/>
      <c r="K194" s="54"/>
      <c r="P194" s="22">
        <f t="shared" si="111"/>
        <v>0</v>
      </c>
      <c r="Q194" s="22" t="str">
        <f t="shared" si="106"/>
        <v>00</v>
      </c>
      <c r="R194" s="22">
        <f t="shared" si="112"/>
        <v>0</v>
      </c>
      <c r="S194" s="22" t="str">
        <f t="shared" si="107"/>
        <v>00</v>
      </c>
      <c r="T194" s="22">
        <f t="shared" si="110"/>
        <v>1900</v>
      </c>
      <c r="U194" s="22">
        <f t="shared" si="110"/>
        <v>1900</v>
      </c>
      <c r="W194" s="22" t="str">
        <f t="shared" si="108"/>
        <v>190000</v>
      </c>
      <c r="X194" s="22" t="str">
        <f t="shared" si="109"/>
        <v>190000</v>
      </c>
    </row>
    <row r="195" spans="2:24">
      <c r="B195" s="22"/>
      <c r="C195" s="22"/>
      <c r="D195" s="77"/>
      <c r="E195" s="54"/>
      <c r="F195" s="77"/>
      <c r="G195" s="77"/>
      <c r="H195" s="78"/>
      <c r="I195" s="54"/>
      <c r="J195" s="39"/>
      <c r="K195" s="54"/>
      <c r="P195" s="22">
        <f t="shared" si="111"/>
        <v>0</v>
      </c>
      <c r="Q195" s="22" t="str">
        <f t="shared" ref="Q195:Q258" si="113">TEXT(P195,"00")</f>
        <v>00</v>
      </c>
      <c r="R195" s="22">
        <f t="shared" si="112"/>
        <v>0</v>
      </c>
      <c r="S195" s="22" t="str">
        <f t="shared" ref="S195:S258" si="114">TEXT(R195,"00")</f>
        <v>00</v>
      </c>
      <c r="T195" s="22">
        <f t="shared" si="110"/>
        <v>1900</v>
      </c>
      <c r="U195" s="22">
        <f t="shared" si="110"/>
        <v>1900</v>
      </c>
      <c r="W195" s="22" t="str">
        <f t="shared" ref="W195:W258" si="115">T195&amp;Q195</f>
        <v>190000</v>
      </c>
      <c r="X195" s="22" t="str">
        <f t="shared" ref="X195:X258" si="116">U195&amp;S195</f>
        <v>190000</v>
      </c>
    </row>
    <row r="196" spans="2:24">
      <c r="B196" s="22"/>
      <c r="C196" s="22"/>
      <c r="D196" s="77"/>
      <c r="E196" s="54"/>
      <c r="F196" s="77"/>
      <c r="G196" s="77"/>
      <c r="H196" s="78"/>
      <c r="I196" s="54"/>
      <c r="J196" s="39"/>
      <c r="K196" s="54"/>
      <c r="P196" s="22">
        <f t="shared" si="111"/>
        <v>0</v>
      </c>
      <c r="Q196" s="22" t="str">
        <f t="shared" si="113"/>
        <v>00</v>
      </c>
      <c r="R196" s="22">
        <f t="shared" si="112"/>
        <v>0</v>
      </c>
      <c r="S196" s="22" t="str">
        <f t="shared" si="114"/>
        <v>00</v>
      </c>
      <c r="T196" s="22">
        <f t="shared" si="110"/>
        <v>1900</v>
      </c>
      <c r="U196" s="22">
        <f t="shared" si="110"/>
        <v>1900</v>
      </c>
      <c r="W196" s="22" t="str">
        <f t="shared" si="115"/>
        <v>190000</v>
      </c>
      <c r="X196" s="22" t="str">
        <f t="shared" si="116"/>
        <v>190000</v>
      </c>
    </row>
    <row r="197" spans="2:24">
      <c r="B197" s="22"/>
      <c r="C197" s="22"/>
      <c r="D197" s="77"/>
      <c r="E197" s="54"/>
      <c r="F197" s="77"/>
      <c r="G197" s="77"/>
      <c r="H197" s="78"/>
      <c r="I197" s="54"/>
      <c r="J197" s="39"/>
      <c r="K197" s="54"/>
      <c r="P197" s="22">
        <f t="shared" si="111"/>
        <v>0</v>
      </c>
      <c r="Q197" s="22" t="str">
        <f t="shared" si="113"/>
        <v>00</v>
      </c>
      <c r="R197" s="22">
        <f t="shared" si="112"/>
        <v>0</v>
      </c>
      <c r="S197" s="22" t="str">
        <f t="shared" si="114"/>
        <v>00</v>
      </c>
      <c r="T197" s="22">
        <f t="shared" si="110"/>
        <v>1900</v>
      </c>
      <c r="U197" s="22">
        <f t="shared" si="110"/>
        <v>1900</v>
      </c>
      <c r="W197" s="22" t="str">
        <f t="shared" si="115"/>
        <v>190000</v>
      </c>
      <c r="X197" s="22" t="str">
        <f t="shared" si="116"/>
        <v>190000</v>
      </c>
    </row>
    <row r="198" spans="2:24">
      <c r="B198" s="22"/>
      <c r="C198" s="22"/>
      <c r="D198" s="77"/>
      <c r="E198" s="54"/>
      <c r="F198" s="77"/>
      <c r="G198" s="77"/>
      <c r="H198" s="78"/>
      <c r="I198" s="54"/>
      <c r="J198" s="39"/>
      <c r="K198" s="54"/>
      <c r="P198" s="22">
        <f t="shared" si="111"/>
        <v>0</v>
      </c>
      <c r="Q198" s="22" t="str">
        <f t="shared" si="113"/>
        <v>00</v>
      </c>
      <c r="R198" s="22">
        <f t="shared" si="112"/>
        <v>0</v>
      </c>
      <c r="S198" s="22" t="str">
        <f t="shared" si="114"/>
        <v>00</v>
      </c>
      <c r="T198" s="22">
        <f t="shared" si="110"/>
        <v>1900</v>
      </c>
      <c r="U198" s="22">
        <f t="shared" si="110"/>
        <v>1900</v>
      </c>
      <c r="W198" s="22" t="str">
        <f t="shared" si="115"/>
        <v>190000</v>
      </c>
      <c r="X198" s="22" t="str">
        <f t="shared" si="116"/>
        <v>190000</v>
      </c>
    </row>
    <row r="199" spans="2:24">
      <c r="B199" s="22"/>
      <c r="C199" s="22"/>
      <c r="D199" s="77"/>
      <c r="E199" s="54"/>
      <c r="F199" s="77"/>
      <c r="G199" s="77"/>
      <c r="H199" s="78"/>
      <c r="I199" s="54"/>
      <c r="J199" s="39"/>
      <c r="K199" s="54"/>
      <c r="P199" s="22">
        <f t="shared" si="111"/>
        <v>0</v>
      </c>
      <c r="Q199" s="22" t="str">
        <f t="shared" si="113"/>
        <v>00</v>
      </c>
      <c r="R199" s="22">
        <f t="shared" si="112"/>
        <v>0</v>
      </c>
      <c r="S199" s="22" t="str">
        <f t="shared" si="114"/>
        <v>00</v>
      </c>
      <c r="T199" s="22">
        <f t="shared" si="110"/>
        <v>1900</v>
      </c>
      <c r="U199" s="22">
        <f t="shared" si="110"/>
        <v>1900</v>
      </c>
      <c r="W199" s="22" t="str">
        <f t="shared" si="115"/>
        <v>190000</v>
      </c>
      <c r="X199" s="22" t="str">
        <f t="shared" si="116"/>
        <v>190000</v>
      </c>
    </row>
    <row r="200" spans="2:24">
      <c r="B200" s="22"/>
      <c r="C200" s="22"/>
      <c r="D200" s="77"/>
      <c r="E200" s="54"/>
      <c r="F200" s="77"/>
      <c r="G200" s="77"/>
      <c r="H200" s="78"/>
      <c r="I200" s="54"/>
      <c r="J200" s="39"/>
      <c r="K200" s="54"/>
      <c r="P200" s="22">
        <f t="shared" si="111"/>
        <v>0</v>
      </c>
      <c r="Q200" s="22" t="str">
        <f t="shared" si="113"/>
        <v>00</v>
      </c>
      <c r="R200" s="22">
        <f t="shared" si="112"/>
        <v>0</v>
      </c>
      <c r="S200" s="22" t="str">
        <f t="shared" si="114"/>
        <v>00</v>
      </c>
      <c r="T200" s="22">
        <f t="shared" si="110"/>
        <v>1900</v>
      </c>
      <c r="U200" s="22">
        <f t="shared" si="110"/>
        <v>1900</v>
      </c>
      <c r="W200" s="22" t="str">
        <f t="shared" si="115"/>
        <v>190000</v>
      </c>
      <c r="X200" s="22" t="str">
        <f t="shared" si="116"/>
        <v>190000</v>
      </c>
    </row>
    <row r="201" spans="2:24">
      <c r="B201" s="22"/>
      <c r="C201" s="22"/>
      <c r="D201" s="77"/>
      <c r="E201" s="54"/>
      <c r="F201" s="77"/>
      <c r="G201" s="77"/>
      <c r="H201" s="78"/>
      <c r="I201" s="54"/>
      <c r="J201" s="39"/>
      <c r="K201" s="54"/>
      <c r="P201" s="22">
        <f t="shared" si="111"/>
        <v>0</v>
      </c>
      <c r="Q201" s="22" t="str">
        <f t="shared" si="113"/>
        <v>00</v>
      </c>
      <c r="R201" s="22">
        <f t="shared" si="112"/>
        <v>0</v>
      </c>
      <c r="S201" s="22" t="str">
        <f t="shared" si="114"/>
        <v>00</v>
      </c>
      <c r="T201" s="22">
        <f t="shared" si="110"/>
        <v>1900</v>
      </c>
      <c r="U201" s="22">
        <f t="shared" si="110"/>
        <v>1900</v>
      </c>
      <c r="W201" s="22" t="str">
        <f t="shared" si="115"/>
        <v>190000</v>
      </c>
      <c r="X201" s="22" t="str">
        <f t="shared" si="116"/>
        <v>190000</v>
      </c>
    </row>
    <row r="202" spans="2:24">
      <c r="B202" s="22"/>
      <c r="C202" s="22"/>
      <c r="D202" s="77"/>
      <c r="E202" s="54"/>
      <c r="F202" s="77"/>
      <c r="G202" s="77"/>
      <c r="H202" s="78"/>
      <c r="I202" s="54"/>
      <c r="J202" s="39"/>
      <c r="K202" s="54"/>
      <c r="P202" s="22">
        <f t="shared" si="111"/>
        <v>0</v>
      </c>
      <c r="Q202" s="22" t="str">
        <f t="shared" si="113"/>
        <v>00</v>
      </c>
      <c r="R202" s="22">
        <f t="shared" si="112"/>
        <v>0</v>
      </c>
      <c r="S202" s="22" t="str">
        <f t="shared" si="114"/>
        <v>00</v>
      </c>
      <c r="T202" s="22">
        <f t="shared" si="110"/>
        <v>1900</v>
      </c>
      <c r="U202" s="22">
        <f t="shared" si="110"/>
        <v>1900</v>
      </c>
      <c r="W202" s="22" t="str">
        <f t="shared" si="115"/>
        <v>190000</v>
      </c>
      <c r="X202" s="22" t="str">
        <f t="shared" si="116"/>
        <v>190000</v>
      </c>
    </row>
    <row r="203" spans="2:24">
      <c r="B203" s="22"/>
      <c r="C203" s="22"/>
      <c r="D203" s="77"/>
      <c r="E203" s="54"/>
      <c r="F203" s="77"/>
      <c r="G203" s="77"/>
      <c r="H203" s="78"/>
      <c r="I203" s="54"/>
      <c r="J203" s="39"/>
      <c r="K203" s="54"/>
      <c r="P203" s="22">
        <f t="shared" si="111"/>
        <v>0</v>
      </c>
      <c r="Q203" s="22" t="str">
        <f t="shared" si="113"/>
        <v>00</v>
      </c>
      <c r="R203" s="22">
        <f t="shared" si="112"/>
        <v>0</v>
      </c>
      <c r="S203" s="22" t="str">
        <f t="shared" si="114"/>
        <v>00</v>
      </c>
      <c r="T203" s="22">
        <f t="shared" si="110"/>
        <v>1900</v>
      </c>
      <c r="U203" s="22">
        <f t="shared" si="110"/>
        <v>1900</v>
      </c>
      <c r="W203" s="22" t="str">
        <f t="shared" si="115"/>
        <v>190000</v>
      </c>
      <c r="X203" s="22" t="str">
        <f t="shared" si="116"/>
        <v>190000</v>
      </c>
    </row>
    <row r="204" spans="2:24">
      <c r="B204" s="22"/>
      <c r="C204" s="22"/>
      <c r="D204" s="77"/>
      <c r="E204" s="54"/>
      <c r="F204" s="77"/>
      <c r="G204" s="77"/>
      <c r="H204" s="78"/>
      <c r="I204" s="54"/>
      <c r="J204" s="39"/>
      <c r="K204" s="54"/>
      <c r="P204" s="22">
        <f t="shared" si="111"/>
        <v>0</v>
      </c>
      <c r="Q204" s="22" t="str">
        <f t="shared" si="113"/>
        <v>00</v>
      </c>
      <c r="R204" s="22">
        <f t="shared" si="112"/>
        <v>0</v>
      </c>
      <c r="S204" s="22" t="str">
        <f t="shared" si="114"/>
        <v>00</v>
      </c>
      <c r="T204" s="22">
        <f t="shared" si="110"/>
        <v>1900</v>
      </c>
      <c r="U204" s="22">
        <f t="shared" si="110"/>
        <v>1900</v>
      </c>
      <c r="W204" s="22" t="str">
        <f t="shared" si="115"/>
        <v>190000</v>
      </c>
      <c r="X204" s="22" t="str">
        <f t="shared" si="116"/>
        <v>190000</v>
      </c>
    </row>
    <row r="205" spans="2:24">
      <c r="B205" s="22"/>
      <c r="C205" s="22"/>
      <c r="D205" s="77"/>
      <c r="E205" s="54"/>
      <c r="F205" s="77"/>
      <c r="G205" s="77"/>
      <c r="H205" s="78"/>
      <c r="I205" s="54"/>
      <c r="J205" s="39"/>
      <c r="K205" s="54"/>
      <c r="P205" s="22">
        <f t="shared" si="111"/>
        <v>0</v>
      </c>
      <c r="Q205" s="22" t="str">
        <f t="shared" si="113"/>
        <v>00</v>
      </c>
      <c r="R205" s="22">
        <f t="shared" si="112"/>
        <v>0</v>
      </c>
      <c r="S205" s="22" t="str">
        <f t="shared" si="114"/>
        <v>00</v>
      </c>
      <c r="T205" s="22">
        <f t="shared" si="110"/>
        <v>1900</v>
      </c>
      <c r="U205" s="22">
        <f t="shared" si="110"/>
        <v>1900</v>
      </c>
      <c r="W205" s="22" t="str">
        <f t="shared" si="115"/>
        <v>190000</v>
      </c>
      <c r="X205" s="22" t="str">
        <f t="shared" si="116"/>
        <v>190000</v>
      </c>
    </row>
    <row r="206" spans="2:24">
      <c r="B206" s="22"/>
      <c r="C206" s="22"/>
      <c r="D206" s="77"/>
      <c r="E206" s="54"/>
      <c r="F206" s="77"/>
      <c r="G206" s="77"/>
      <c r="H206" s="78"/>
      <c r="I206" s="54"/>
      <c r="J206" s="39"/>
      <c r="K206" s="54"/>
      <c r="P206" s="22">
        <f t="shared" si="111"/>
        <v>0</v>
      </c>
      <c r="Q206" s="22" t="str">
        <f t="shared" si="113"/>
        <v>00</v>
      </c>
      <c r="R206" s="22">
        <f t="shared" si="112"/>
        <v>0</v>
      </c>
      <c r="S206" s="22" t="str">
        <f t="shared" si="114"/>
        <v>00</v>
      </c>
      <c r="T206" s="22">
        <f t="shared" si="110"/>
        <v>1900</v>
      </c>
      <c r="U206" s="22">
        <f t="shared" si="110"/>
        <v>1900</v>
      </c>
      <c r="W206" s="22" t="str">
        <f t="shared" si="115"/>
        <v>190000</v>
      </c>
      <c r="X206" s="22" t="str">
        <f t="shared" si="116"/>
        <v>190000</v>
      </c>
    </row>
    <row r="207" spans="2:24">
      <c r="B207" s="22"/>
      <c r="C207" s="22"/>
      <c r="D207" s="77"/>
      <c r="E207" s="54"/>
      <c r="F207" s="77"/>
      <c r="G207" s="77"/>
      <c r="H207" s="78"/>
      <c r="I207" s="54"/>
      <c r="J207" s="39"/>
      <c r="K207" s="54"/>
      <c r="P207" s="22">
        <f t="shared" si="111"/>
        <v>0</v>
      </c>
      <c r="Q207" s="22" t="str">
        <f t="shared" si="113"/>
        <v>00</v>
      </c>
      <c r="R207" s="22">
        <f t="shared" si="112"/>
        <v>0</v>
      </c>
      <c r="S207" s="22" t="str">
        <f t="shared" si="114"/>
        <v>00</v>
      </c>
      <c r="T207" s="22">
        <f t="shared" si="110"/>
        <v>1900</v>
      </c>
      <c r="U207" s="22">
        <f t="shared" si="110"/>
        <v>1900</v>
      </c>
      <c r="W207" s="22" t="str">
        <f t="shared" si="115"/>
        <v>190000</v>
      </c>
      <c r="X207" s="22" t="str">
        <f t="shared" si="116"/>
        <v>190000</v>
      </c>
    </row>
    <row r="208" spans="2:24">
      <c r="B208" s="22"/>
      <c r="C208" s="22"/>
      <c r="D208" s="77"/>
      <c r="E208" s="54"/>
      <c r="F208" s="77"/>
      <c r="G208" s="77"/>
      <c r="H208" s="78"/>
      <c r="I208" s="54"/>
      <c r="J208" s="39"/>
      <c r="K208" s="54"/>
      <c r="P208" s="22">
        <f t="shared" si="111"/>
        <v>0</v>
      </c>
      <c r="Q208" s="22" t="str">
        <f t="shared" si="113"/>
        <v>00</v>
      </c>
      <c r="R208" s="22">
        <f t="shared" si="112"/>
        <v>0</v>
      </c>
      <c r="S208" s="22" t="str">
        <f t="shared" si="114"/>
        <v>00</v>
      </c>
      <c r="T208" s="22">
        <f t="shared" si="110"/>
        <v>1900</v>
      </c>
      <c r="U208" s="22">
        <f t="shared" si="110"/>
        <v>1900</v>
      </c>
      <c r="W208" s="22" t="str">
        <f t="shared" si="115"/>
        <v>190000</v>
      </c>
      <c r="X208" s="22" t="str">
        <f t="shared" si="116"/>
        <v>190000</v>
      </c>
    </row>
    <row r="209" spans="2:24">
      <c r="B209" s="22"/>
      <c r="C209" s="22"/>
      <c r="D209" s="77"/>
      <c r="E209" s="54"/>
      <c r="F209" s="77"/>
      <c r="G209" s="77"/>
      <c r="H209" s="78"/>
      <c r="I209" s="54"/>
      <c r="J209" s="39"/>
      <c r="K209" s="54"/>
      <c r="P209" s="22">
        <f t="shared" si="111"/>
        <v>0</v>
      </c>
      <c r="Q209" s="22" t="str">
        <f t="shared" si="113"/>
        <v>00</v>
      </c>
      <c r="R209" s="22">
        <f t="shared" si="112"/>
        <v>0</v>
      </c>
      <c r="S209" s="22" t="str">
        <f t="shared" si="114"/>
        <v>00</v>
      </c>
      <c r="T209" s="22">
        <f t="shared" si="110"/>
        <v>1900</v>
      </c>
      <c r="U209" s="22">
        <f t="shared" si="110"/>
        <v>1900</v>
      </c>
      <c r="W209" s="22" t="str">
        <f t="shared" si="115"/>
        <v>190000</v>
      </c>
      <c r="X209" s="22" t="str">
        <f t="shared" si="116"/>
        <v>190000</v>
      </c>
    </row>
    <row r="210" spans="2:24">
      <c r="B210" s="22"/>
      <c r="C210" s="22"/>
      <c r="D210" s="77"/>
      <c r="E210" s="54"/>
      <c r="F210" s="77"/>
      <c r="G210" s="77"/>
      <c r="H210" s="78"/>
      <c r="I210" s="54"/>
      <c r="J210" s="39"/>
      <c r="K210" s="54"/>
      <c r="P210" s="22">
        <f t="shared" si="111"/>
        <v>0</v>
      </c>
      <c r="Q210" s="22" t="str">
        <f t="shared" si="113"/>
        <v>00</v>
      </c>
      <c r="R210" s="22">
        <f t="shared" si="112"/>
        <v>0</v>
      </c>
      <c r="S210" s="22" t="str">
        <f t="shared" si="114"/>
        <v>00</v>
      </c>
      <c r="T210" s="22">
        <f t="shared" si="110"/>
        <v>1900</v>
      </c>
      <c r="U210" s="22">
        <f t="shared" si="110"/>
        <v>1900</v>
      </c>
      <c r="W210" s="22" t="str">
        <f t="shared" si="115"/>
        <v>190000</v>
      </c>
      <c r="X210" s="22" t="str">
        <f t="shared" si="116"/>
        <v>190000</v>
      </c>
    </row>
    <row r="211" spans="2:24">
      <c r="B211" s="22"/>
      <c r="C211" s="22"/>
      <c r="D211" s="77"/>
      <c r="E211" s="54"/>
      <c r="F211" s="77"/>
      <c r="G211" s="77"/>
      <c r="H211" s="78"/>
      <c r="I211" s="54"/>
      <c r="J211" s="39"/>
      <c r="K211" s="54"/>
      <c r="P211" s="22">
        <f t="shared" si="111"/>
        <v>0</v>
      </c>
      <c r="Q211" s="22" t="str">
        <f t="shared" si="113"/>
        <v>00</v>
      </c>
      <c r="R211" s="22">
        <f t="shared" si="112"/>
        <v>0</v>
      </c>
      <c r="S211" s="22" t="str">
        <f t="shared" si="114"/>
        <v>00</v>
      </c>
      <c r="T211" s="22">
        <f t="shared" si="110"/>
        <v>1900</v>
      </c>
      <c r="U211" s="22">
        <f t="shared" si="110"/>
        <v>1900</v>
      </c>
      <c r="W211" s="22" t="str">
        <f t="shared" si="115"/>
        <v>190000</v>
      </c>
      <c r="X211" s="22" t="str">
        <f t="shared" si="116"/>
        <v>190000</v>
      </c>
    </row>
    <row r="212" spans="2:24">
      <c r="B212" s="22"/>
      <c r="C212" s="22"/>
      <c r="D212" s="77"/>
      <c r="E212" s="54"/>
      <c r="F212" s="77"/>
      <c r="G212" s="77"/>
      <c r="H212" s="78"/>
      <c r="I212" s="54"/>
      <c r="J212" s="39"/>
      <c r="K212" s="54"/>
      <c r="P212" s="22">
        <f t="shared" si="111"/>
        <v>0</v>
      </c>
      <c r="Q212" s="22" t="str">
        <f t="shared" si="113"/>
        <v>00</v>
      </c>
      <c r="R212" s="22">
        <f t="shared" si="112"/>
        <v>0</v>
      </c>
      <c r="S212" s="22" t="str">
        <f t="shared" si="114"/>
        <v>00</v>
      </c>
      <c r="T212" s="22">
        <f t="shared" ref="T212:U275" si="117">YEAR(F212)</f>
        <v>1900</v>
      </c>
      <c r="U212" s="22">
        <f t="shared" si="117"/>
        <v>1900</v>
      </c>
      <c r="W212" s="22" t="str">
        <f t="shared" si="115"/>
        <v>190000</v>
      </c>
      <c r="X212" s="22" t="str">
        <f t="shared" si="116"/>
        <v>190000</v>
      </c>
    </row>
    <row r="213" spans="2:24">
      <c r="B213" s="22"/>
      <c r="C213" s="22"/>
      <c r="D213" s="77"/>
      <c r="E213" s="54"/>
      <c r="F213" s="77"/>
      <c r="G213" s="77"/>
      <c r="H213" s="78"/>
      <c r="I213" s="54"/>
      <c r="J213" s="39"/>
      <c r="K213" s="54"/>
      <c r="P213" s="22">
        <f t="shared" si="111"/>
        <v>0</v>
      </c>
      <c r="Q213" s="22" t="str">
        <f t="shared" si="113"/>
        <v>00</v>
      </c>
      <c r="R213" s="22">
        <f t="shared" si="112"/>
        <v>0</v>
      </c>
      <c r="S213" s="22" t="str">
        <f t="shared" si="114"/>
        <v>00</v>
      </c>
      <c r="T213" s="22">
        <f t="shared" si="117"/>
        <v>1900</v>
      </c>
      <c r="U213" s="22">
        <f t="shared" si="117"/>
        <v>1900</v>
      </c>
      <c r="W213" s="22" t="str">
        <f t="shared" si="115"/>
        <v>190000</v>
      </c>
      <c r="X213" s="22" t="str">
        <f t="shared" si="116"/>
        <v>190000</v>
      </c>
    </row>
    <row r="214" spans="2:24">
      <c r="B214" s="22"/>
      <c r="C214" s="22"/>
      <c r="D214" s="77"/>
      <c r="E214" s="54"/>
      <c r="F214" s="77"/>
      <c r="G214" s="77"/>
      <c r="H214" s="78"/>
      <c r="I214" s="54"/>
      <c r="J214" s="39"/>
      <c r="K214" s="54"/>
      <c r="P214" s="22">
        <f t="shared" si="111"/>
        <v>0</v>
      </c>
      <c r="Q214" s="22" t="str">
        <f t="shared" si="113"/>
        <v>00</v>
      </c>
      <c r="R214" s="22">
        <f t="shared" si="112"/>
        <v>0</v>
      </c>
      <c r="S214" s="22" t="str">
        <f t="shared" si="114"/>
        <v>00</v>
      </c>
      <c r="T214" s="22">
        <f t="shared" si="117"/>
        <v>1900</v>
      </c>
      <c r="U214" s="22">
        <f t="shared" si="117"/>
        <v>1900</v>
      </c>
      <c r="W214" s="22" t="str">
        <f t="shared" si="115"/>
        <v>190000</v>
      </c>
      <c r="X214" s="22" t="str">
        <f t="shared" si="116"/>
        <v>190000</v>
      </c>
    </row>
    <row r="215" spans="2:24">
      <c r="B215" s="22"/>
      <c r="C215" s="22"/>
      <c r="D215" s="77"/>
      <c r="E215" s="54"/>
      <c r="F215" s="77"/>
      <c r="G215" s="77"/>
      <c r="H215" s="78"/>
      <c r="I215" s="54"/>
      <c r="J215" s="39"/>
      <c r="K215" s="54"/>
      <c r="P215" s="22">
        <f t="shared" si="111"/>
        <v>0</v>
      </c>
      <c r="Q215" s="22" t="str">
        <f t="shared" si="113"/>
        <v>00</v>
      </c>
      <c r="R215" s="22">
        <f t="shared" si="112"/>
        <v>0</v>
      </c>
      <c r="S215" s="22" t="str">
        <f t="shared" si="114"/>
        <v>00</v>
      </c>
      <c r="T215" s="22">
        <f t="shared" si="117"/>
        <v>1900</v>
      </c>
      <c r="U215" s="22">
        <f t="shared" si="117"/>
        <v>1900</v>
      </c>
      <c r="W215" s="22" t="str">
        <f t="shared" si="115"/>
        <v>190000</v>
      </c>
      <c r="X215" s="22" t="str">
        <f t="shared" si="116"/>
        <v>190000</v>
      </c>
    </row>
    <row r="216" spans="2:24">
      <c r="B216" s="22"/>
      <c r="C216" s="22"/>
      <c r="D216" s="77"/>
      <c r="E216" s="54"/>
      <c r="F216" s="77"/>
      <c r="G216" s="77"/>
      <c r="H216" s="78"/>
      <c r="I216" s="54"/>
      <c r="J216" s="39"/>
      <c r="K216" s="54"/>
      <c r="P216" s="22">
        <f t="shared" si="111"/>
        <v>0</v>
      </c>
      <c r="Q216" s="22" t="str">
        <f t="shared" si="113"/>
        <v>00</v>
      </c>
      <c r="R216" s="22">
        <f t="shared" si="112"/>
        <v>0</v>
      </c>
      <c r="S216" s="22" t="str">
        <f t="shared" si="114"/>
        <v>00</v>
      </c>
      <c r="T216" s="22">
        <f t="shared" si="117"/>
        <v>1900</v>
      </c>
      <c r="U216" s="22">
        <f t="shared" si="117"/>
        <v>1900</v>
      </c>
      <c r="W216" s="22" t="str">
        <f t="shared" si="115"/>
        <v>190000</v>
      </c>
      <c r="X216" s="22" t="str">
        <f t="shared" si="116"/>
        <v>190000</v>
      </c>
    </row>
    <row r="217" spans="2:24">
      <c r="B217" s="22"/>
      <c r="C217" s="22"/>
      <c r="D217" s="77"/>
      <c r="E217" s="54"/>
      <c r="F217" s="77"/>
      <c r="G217" s="77"/>
      <c r="H217" s="78"/>
      <c r="I217" s="54"/>
      <c r="J217" s="39"/>
      <c r="K217" s="54"/>
      <c r="P217" s="22">
        <f t="shared" si="111"/>
        <v>0</v>
      </c>
      <c r="Q217" s="22" t="str">
        <f t="shared" si="113"/>
        <v>00</v>
      </c>
      <c r="R217" s="22">
        <f t="shared" si="112"/>
        <v>0</v>
      </c>
      <c r="S217" s="22" t="str">
        <f t="shared" si="114"/>
        <v>00</v>
      </c>
      <c r="T217" s="22">
        <f t="shared" si="117"/>
        <v>1900</v>
      </c>
      <c r="U217" s="22">
        <f t="shared" si="117"/>
        <v>1900</v>
      </c>
      <c r="W217" s="22" t="str">
        <f t="shared" si="115"/>
        <v>190000</v>
      </c>
      <c r="X217" s="22" t="str">
        <f t="shared" si="116"/>
        <v>190000</v>
      </c>
    </row>
    <row r="218" spans="2:24">
      <c r="B218" s="22"/>
      <c r="C218" s="22"/>
      <c r="D218" s="77"/>
      <c r="E218" s="54"/>
      <c r="F218" s="77"/>
      <c r="G218" s="77"/>
      <c r="H218" s="78"/>
      <c r="I218" s="54"/>
      <c r="J218" s="39"/>
      <c r="K218" s="54"/>
      <c r="P218" s="22">
        <f t="shared" si="111"/>
        <v>0</v>
      </c>
      <c r="Q218" s="22" t="str">
        <f t="shared" si="113"/>
        <v>00</v>
      </c>
      <c r="R218" s="22">
        <f t="shared" si="112"/>
        <v>0</v>
      </c>
      <c r="S218" s="22" t="str">
        <f t="shared" si="114"/>
        <v>00</v>
      </c>
      <c r="T218" s="22">
        <f t="shared" si="117"/>
        <v>1900</v>
      </c>
      <c r="U218" s="22">
        <f t="shared" si="117"/>
        <v>1900</v>
      </c>
      <c r="W218" s="22" t="str">
        <f t="shared" si="115"/>
        <v>190000</v>
      </c>
      <c r="X218" s="22" t="str">
        <f t="shared" si="116"/>
        <v>190000</v>
      </c>
    </row>
    <row r="219" spans="2:24">
      <c r="B219" s="22"/>
      <c r="C219" s="22"/>
      <c r="D219" s="77"/>
      <c r="E219" s="54"/>
      <c r="F219" s="77"/>
      <c r="G219" s="77"/>
      <c r="H219" s="78"/>
      <c r="I219" s="54"/>
      <c r="J219" s="39"/>
      <c r="K219" s="54"/>
      <c r="P219" s="22">
        <f t="shared" si="111"/>
        <v>0</v>
      </c>
      <c r="Q219" s="22" t="str">
        <f t="shared" si="113"/>
        <v>00</v>
      </c>
      <c r="R219" s="22">
        <f t="shared" si="112"/>
        <v>0</v>
      </c>
      <c r="S219" s="22" t="str">
        <f t="shared" si="114"/>
        <v>00</v>
      </c>
      <c r="T219" s="22">
        <f t="shared" si="117"/>
        <v>1900</v>
      </c>
      <c r="U219" s="22">
        <f t="shared" si="117"/>
        <v>1900</v>
      </c>
      <c r="W219" s="22" t="str">
        <f t="shared" si="115"/>
        <v>190000</v>
      </c>
      <c r="X219" s="22" t="str">
        <f t="shared" si="116"/>
        <v>190000</v>
      </c>
    </row>
    <row r="220" spans="2:24">
      <c r="B220" s="22"/>
      <c r="C220" s="22"/>
      <c r="D220" s="77"/>
      <c r="E220" s="54"/>
      <c r="F220" s="77"/>
      <c r="G220" s="77"/>
      <c r="H220" s="78"/>
      <c r="I220" s="54"/>
      <c r="J220" s="39"/>
      <c r="K220" s="54"/>
      <c r="P220" s="22">
        <f t="shared" si="111"/>
        <v>0</v>
      </c>
      <c r="Q220" s="22" t="str">
        <f t="shared" si="113"/>
        <v>00</v>
      </c>
      <c r="R220" s="22">
        <f t="shared" si="112"/>
        <v>0</v>
      </c>
      <c r="S220" s="22" t="str">
        <f t="shared" si="114"/>
        <v>00</v>
      </c>
      <c r="T220" s="22">
        <f t="shared" si="117"/>
        <v>1900</v>
      </c>
      <c r="U220" s="22">
        <f t="shared" si="117"/>
        <v>1900</v>
      </c>
      <c r="W220" s="22" t="str">
        <f t="shared" si="115"/>
        <v>190000</v>
      </c>
      <c r="X220" s="22" t="str">
        <f t="shared" si="116"/>
        <v>190000</v>
      </c>
    </row>
    <row r="221" spans="2:24">
      <c r="B221" s="22"/>
      <c r="C221" s="22"/>
      <c r="D221" s="77"/>
      <c r="E221" s="54"/>
      <c r="F221" s="77"/>
      <c r="G221" s="77"/>
      <c r="H221" s="78"/>
      <c r="I221" s="54"/>
      <c r="J221" s="39"/>
      <c r="K221" s="54"/>
      <c r="P221" s="22">
        <f t="shared" si="111"/>
        <v>0</v>
      </c>
      <c r="Q221" s="22" t="str">
        <f t="shared" si="113"/>
        <v>00</v>
      </c>
      <c r="R221" s="22">
        <f t="shared" si="112"/>
        <v>0</v>
      </c>
      <c r="S221" s="22" t="str">
        <f t="shared" si="114"/>
        <v>00</v>
      </c>
      <c r="T221" s="22">
        <f t="shared" si="117"/>
        <v>1900</v>
      </c>
      <c r="U221" s="22">
        <f t="shared" si="117"/>
        <v>1900</v>
      </c>
      <c r="W221" s="22" t="str">
        <f t="shared" si="115"/>
        <v>190000</v>
      </c>
      <c r="X221" s="22" t="str">
        <f t="shared" si="116"/>
        <v>190000</v>
      </c>
    </row>
    <row r="222" spans="2:24">
      <c r="B222" s="22"/>
      <c r="C222" s="22"/>
      <c r="D222" s="77"/>
      <c r="E222" s="54"/>
      <c r="F222" s="77"/>
      <c r="G222" s="77"/>
      <c r="H222" s="78"/>
      <c r="I222" s="54"/>
      <c r="J222" s="39"/>
      <c r="K222" s="54"/>
      <c r="P222" s="22">
        <f t="shared" si="111"/>
        <v>0</v>
      </c>
      <c r="Q222" s="22" t="str">
        <f t="shared" si="113"/>
        <v>00</v>
      </c>
      <c r="R222" s="22">
        <f t="shared" si="112"/>
        <v>0</v>
      </c>
      <c r="S222" s="22" t="str">
        <f t="shared" si="114"/>
        <v>00</v>
      </c>
      <c r="T222" s="22">
        <f t="shared" si="117"/>
        <v>1900</v>
      </c>
      <c r="U222" s="22">
        <f t="shared" si="117"/>
        <v>1900</v>
      </c>
      <c r="W222" s="22" t="str">
        <f t="shared" si="115"/>
        <v>190000</v>
      </c>
      <c r="X222" s="22" t="str">
        <f t="shared" si="116"/>
        <v>190000</v>
      </c>
    </row>
    <row r="223" spans="2:24">
      <c r="B223" s="22"/>
      <c r="C223" s="22"/>
      <c r="D223" s="77"/>
      <c r="E223" s="54"/>
      <c r="F223" s="77"/>
      <c r="G223" s="77"/>
      <c r="H223" s="78"/>
      <c r="I223" s="54"/>
      <c r="J223" s="39"/>
      <c r="K223" s="54"/>
      <c r="P223" s="22">
        <f t="shared" si="111"/>
        <v>0</v>
      </c>
      <c r="Q223" s="22" t="str">
        <f t="shared" si="113"/>
        <v>00</v>
      </c>
      <c r="R223" s="22">
        <f t="shared" si="112"/>
        <v>0</v>
      </c>
      <c r="S223" s="22" t="str">
        <f t="shared" si="114"/>
        <v>00</v>
      </c>
      <c r="T223" s="22">
        <f t="shared" si="117"/>
        <v>1900</v>
      </c>
      <c r="U223" s="22">
        <f t="shared" si="117"/>
        <v>1900</v>
      </c>
      <c r="W223" s="22" t="str">
        <f t="shared" si="115"/>
        <v>190000</v>
      </c>
      <c r="X223" s="22" t="str">
        <f t="shared" si="116"/>
        <v>190000</v>
      </c>
    </row>
    <row r="224" spans="2:24">
      <c r="B224" s="22"/>
      <c r="C224" s="22"/>
      <c r="D224" s="77"/>
      <c r="E224" s="54"/>
      <c r="F224" s="77"/>
      <c r="G224" s="77"/>
      <c r="H224" s="78"/>
      <c r="I224" s="54"/>
      <c r="J224" s="39"/>
      <c r="K224" s="54"/>
      <c r="P224" s="22">
        <f t="shared" si="111"/>
        <v>0</v>
      </c>
      <c r="Q224" s="22" t="str">
        <f t="shared" si="113"/>
        <v>00</v>
      </c>
      <c r="R224" s="22">
        <f t="shared" si="112"/>
        <v>0</v>
      </c>
      <c r="S224" s="22" t="str">
        <f t="shared" si="114"/>
        <v>00</v>
      </c>
      <c r="T224" s="22">
        <f t="shared" si="117"/>
        <v>1900</v>
      </c>
      <c r="U224" s="22">
        <f t="shared" si="117"/>
        <v>1900</v>
      </c>
      <c r="W224" s="22" t="str">
        <f t="shared" si="115"/>
        <v>190000</v>
      </c>
      <c r="X224" s="22" t="str">
        <f t="shared" si="116"/>
        <v>190000</v>
      </c>
    </row>
    <row r="225" spans="2:24">
      <c r="B225" s="22"/>
      <c r="C225" s="22"/>
      <c r="D225" s="77"/>
      <c r="E225" s="54"/>
      <c r="F225" s="77"/>
      <c r="G225" s="77"/>
      <c r="H225" s="78"/>
      <c r="I225" s="54"/>
      <c r="J225" s="39"/>
      <c r="K225" s="54"/>
      <c r="P225" s="22">
        <f t="shared" si="111"/>
        <v>0</v>
      </c>
      <c r="Q225" s="22" t="str">
        <f t="shared" si="113"/>
        <v>00</v>
      </c>
      <c r="R225" s="22">
        <f t="shared" si="112"/>
        <v>0</v>
      </c>
      <c r="S225" s="22" t="str">
        <f t="shared" si="114"/>
        <v>00</v>
      </c>
      <c r="T225" s="22">
        <f t="shared" si="117"/>
        <v>1900</v>
      </c>
      <c r="U225" s="22">
        <f t="shared" si="117"/>
        <v>1900</v>
      </c>
      <c r="W225" s="22" t="str">
        <f t="shared" si="115"/>
        <v>190000</v>
      </c>
      <c r="X225" s="22" t="str">
        <f t="shared" si="116"/>
        <v>190000</v>
      </c>
    </row>
    <row r="226" spans="2:24">
      <c r="B226" s="22"/>
      <c r="C226" s="22"/>
      <c r="D226" s="77"/>
      <c r="E226" s="54"/>
      <c r="F226" s="77"/>
      <c r="G226" s="77"/>
      <c r="H226" s="78"/>
      <c r="I226" s="54"/>
      <c r="J226" s="39"/>
      <c r="K226" s="54"/>
      <c r="P226" s="22">
        <f t="shared" si="111"/>
        <v>0</v>
      </c>
      <c r="Q226" s="22" t="str">
        <f t="shared" si="113"/>
        <v>00</v>
      </c>
      <c r="R226" s="22">
        <f t="shared" si="112"/>
        <v>0</v>
      </c>
      <c r="S226" s="22" t="str">
        <f t="shared" si="114"/>
        <v>00</v>
      </c>
      <c r="T226" s="22">
        <f t="shared" si="117"/>
        <v>1900</v>
      </c>
      <c r="U226" s="22">
        <f t="shared" si="117"/>
        <v>1900</v>
      </c>
      <c r="W226" s="22" t="str">
        <f t="shared" si="115"/>
        <v>190000</v>
      </c>
      <c r="X226" s="22" t="str">
        <f t="shared" si="116"/>
        <v>190000</v>
      </c>
    </row>
    <row r="227" spans="2:24">
      <c r="B227" s="22"/>
      <c r="C227" s="22"/>
      <c r="D227" s="77"/>
      <c r="E227" s="54"/>
      <c r="F227" s="77"/>
      <c r="G227" s="77"/>
      <c r="H227" s="78"/>
      <c r="I227" s="54"/>
      <c r="J227" s="39"/>
      <c r="K227" s="54"/>
      <c r="P227" s="22">
        <f t="shared" si="111"/>
        <v>0</v>
      </c>
      <c r="Q227" s="22" t="str">
        <f t="shared" si="113"/>
        <v>00</v>
      </c>
      <c r="R227" s="22">
        <f t="shared" si="112"/>
        <v>0</v>
      </c>
      <c r="S227" s="22" t="str">
        <f t="shared" si="114"/>
        <v>00</v>
      </c>
      <c r="T227" s="22">
        <f t="shared" si="117"/>
        <v>1900</v>
      </c>
      <c r="U227" s="22">
        <f t="shared" si="117"/>
        <v>1900</v>
      </c>
      <c r="W227" s="22" t="str">
        <f t="shared" si="115"/>
        <v>190000</v>
      </c>
      <c r="X227" s="22" t="str">
        <f t="shared" si="116"/>
        <v>190000</v>
      </c>
    </row>
    <row r="228" spans="2:24">
      <c r="B228" s="22"/>
      <c r="C228" s="22"/>
      <c r="D228" s="77"/>
      <c r="E228" s="54"/>
      <c r="F228" s="77"/>
      <c r="G228" s="77"/>
      <c r="H228" s="78"/>
      <c r="I228" s="54"/>
      <c r="J228" s="39"/>
      <c r="K228" s="54"/>
      <c r="P228" s="22">
        <f t="shared" si="111"/>
        <v>0</v>
      </c>
      <c r="Q228" s="22" t="str">
        <f t="shared" si="113"/>
        <v>00</v>
      </c>
      <c r="R228" s="22">
        <f t="shared" si="112"/>
        <v>0</v>
      </c>
      <c r="S228" s="22" t="str">
        <f t="shared" si="114"/>
        <v>00</v>
      </c>
      <c r="T228" s="22">
        <f t="shared" si="117"/>
        <v>1900</v>
      </c>
      <c r="U228" s="22">
        <f t="shared" si="117"/>
        <v>1900</v>
      </c>
      <c r="W228" s="22" t="str">
        <f t="shared" si="115"/>
        <v>190000</v>
      </c>
      <c r="X228" s="22" t="str">
        <f t="shared" si="116"/>
        <v>190000</v>
      </c>
    </row>
    <row r="229" spans="2:24">
      <c r="B229" s="22"/>
      <c r="C229" s="22"/>
      <c r="D229" s="77"/>
      <c r="E229" s="54"/>
      <c r="F229" s="77"/>
      <c r="G229" s="77"/>
      <c r="H229" s="78"/>
      <c r="I229" s="54"/>
      <c r="J229" s="39"/>
      <c r="K229" s="54"/>
      <c r="P229" s="22">
        <f t="shared" si="111"/>
        <v>0</v>
      </c>
      <c r="Q229" s="22" t="str">
        <f t="shared" si="113"/>
        <v>00</v>
      </c>
      <c r="R229" s="22">
        <f t="shared" si="112"/>
        <v>0</v>
      </c>
      <c r="S229" s="22" t="str">
        <f t="shared" si="114"/>
        <v>00</v>
      </c>
      <c r="T229" s="22">
        <f t="shared" si="117"/>
        <v>1900</v>
      </c>
      <c r="U229" s="22">
        <f t="shared" si="117"/>
        <v>1900</v>
      </c>
      <c r="W229" s="22" t="str">
        <f t="shared" si="115"/>
        <v>190000</v>
      </c>
      <c r="X229" s="22" t="str">
        <f t="shared" si="116"/>
        <v>190000</v>
      </c>
    </row>
    <row r="230" spans="2:24">
      <c r="B230" s="22"/>
      <c r="C230" s="22"/>
      <c r="D230" s="77"/>
      <c r="E230" s="54"/>
      <c r="F230" s="77"/>
      <c r="G230" s="77"/>
      <c r="H230" s="78"/>
      <c r="I230" s="54"/>
      <c r="J230" s="39"/>
      <c r="K230" s="54"/>
      <c r="P230" s="22">
        <f t="shared" si="111"/>
        <v>0</v>
      </c>
      <c r="Q230" s="22" t="str">
        <f t="shared" si="113"/>
        <v>00</v>
      </c>
      <c r="R230" s="22">
        <f t="shared" si="112"/>
        <v>0</v>
      </c>
      <c r="S230" s="22" t="str">
        <f t="shared" si="114"/>
        <v>00</v>
      </c>
      <c r="T230" s="22">
        <f t="shared" si="117"/>
        <v>1900</v>
      </c>
      <c r="U230" s="22">
        <f t="shared" si="117"/>
        <v>1900</v>
      </c>
      <c r="W230" s="22" t="str">
        <f t="shared" si="115"/>
        <v>190000</v>
      </c>
      <c r="X230" s="22" t="str">
        <f t="shared" si="116"/>
        <v>190000</v>
      </c>
    </row>
    <row r="231" spans="2:24">
      <c r="B231" s="22"/>
      <c r="C231" s="22"/>
      <c r="D231" s="77"/>
      <c r="E231" s="54"/>
      <c r="F231" s="77"/>
      <c r="G231" s="77"/>
      <c r="H231" s="78"/>
      <c r="I231" s="54"/>
      <c r="J231" s="39"/>
      <c r="K231" s="54"/>
      <c r="P231" s="22">
        <f t="shared" si="111"/>
        <v>0</v>
      </c>
      <c r="Q231" s="22" t="str">
        <f t="shared" si="113"/>
        <v>00</v>
      </c>
      <c r="R231" s="22">
        <f t="shared" si="112"/>
        <v>0</v>
      </c>
      <c r="S231" s="22" t="str">
        <f t="shared" si="114"/>
        <v>00</v>
      </c>
      <c r="T231" s="22">
        <f t="shared" si="117"/>
        <v>1900</v>
      </c>
      <c r="U231" s="22">
        <f t="shared" si="117"/>
        <v>1900</v>
      </c>
      <c r="W231" s="22" t="str">
        <f t="shared" si="115"/>
        <v>190000</v>
      </c>
      <c r="X231" s="22" t="str">
        <f t="shared" si="116"/>
        <v>190000</v>
      </c>
    </row>
    <row r="232" spans="2:24">
      <c r="B232" s="22"/>
      <c r="C232" s="22"/>
      <c r="D232" s="77"/>
      <c r="E232" s="54"/>
      <c r="F232" s="77"/>
      <c r="G232" s="77"/>
      <c r="H232" s="78"/>
      <c r="I232" s="54"/>
      <c r="J232" s="39"/>
      <c r="K232" s="54"/>
      <c r="P232" s="22">
        <f t="shared" si="111"/>
        <v>0</v>
      </c>
      <c r="Q232" s="22" t="str">
        <f t="shared" si="113"/>
        <v>00</v>
      </c>
      <c r="R232" s="22">
        <f t="shared" si="112"/>
        <v>0</v>
      </c>
      <c r="S232" s="22" t="str">
        <f t="shared" si="114"/>
        <v>00</v>
      </c>
      <c r="T232" s="22">
        <f t="shared" si="117"/>
        <v>1900</v>
      </c>
      <c r="U232" s="22">
        <f t="shared" si="117"/>
        <v>1900</v>
      </c>
      <c r="W232" s="22" t="str">
        <f t="shared" si="115"/>
        <v>190000</v>
      </c>
      <c r="X232" s="22" t="str">
        <f t="shared" si="116"/>
        <v>190000</v>
      </c>
    </row>
    <row r="233" spans="2:24">
      <c r="B233" s="22"/>
      <c r="C233" s="22"/>
      <c r="D233" s="77"/>
      <c r="E233" s="54"/>
      <c r="F233" s="77"/>
      <c r="G233" s="77"/>
      <c r="H233" s="78"/>
      <c r="I233" s="54"/>
      <c r="J233" s="39"/>
      <c r="K233" s="54"/>
      <c r="P233" s="22">
        <f t="shared" si="111"/>
        <v>0</v>
      </c>
      <c r="Q233" s="22" t="str">
        <f t="shared" si="113"/>
        <v>00</v>
      </c>
      <c r="R233" s="22">
        <f t="shared" si="112"/>
        <v>0</v>
      </c>
      <c r="S233" s="22" t="str">
        <f t="shared" si="114"/>
        <v>00</v>
      </c>
      <c r="T233" s="22">
        <f t="shared" si="117"/>
        <v>1900</v>
      </c>
      <c r="U233" s="22">
        <f t="shared" si="117"/>
        <v>1900</v>
      </c>
      <c r="W233" s="22" t="str">
        <f t="shared" si="115"/>
        <v>190000</v>
      </c>
      <c r="X233" s="22" t="str">
        <f t="shared" si="116"/>
        <v>190000</v>
      </c>
    </row>
    <row r="234" spans="2:24">
      <c r="B234" s="22"/>
      <c r="C234" s="22"/>
      <c r="D234" s="77"/>
      <c r="E234" s="54"/>
      <c r="F234" s="77"/>
      <c r="G234" s="77"/>
      <c r="H234" s="78"/>
      <c r="I234" s="54"/>
      <c r="J234" s="39"/>
      <c r="K234" s="54"/>
      <c r="P234" s="22">
        <f t="shared" si="111"/>
        <v>0</v>
      </c>
      <c r="Q234" s="22" t="str">
        <f t="shared" si="113"/>
        <v>00</v>
      </c>
      <c r="R234" s="22">
        <f t="shared" si="112"/>
        <v>0</v>
      </c>
      <c r="S234" s="22" t="str">
        <f t="shared" si="114"/>
        <v>00</v>
      </c>
      <c r="T234" s="22">
        <f t="shared" si="117"/>
        <v>1900</v>
      </c>
      <c r="U234" s="22">
        <f t="shared" si="117"/>
        <v>1900</v>
      </c>
      <c r="W234" s="22" t="str">
        <f t="shared" si="115"/>
        <v>190000</v>
      </c>
      <c r="X234" s="22" t="str">
        <f t="shared" si="116"/>
        <v>190000</v>
      </c>
    </row>
    <row r="235" spans="2:24">
      <c r="B235" s="22"/>
      <c r="C235" s="22"/>
      <c r="D235" s="77"/>
      <c r="E235" s="54"/>
      <c r="F235" s="77"/>
      <c r="G235" s="77"/>
      <c r="H235" s="78"/>
      <c r="I235" s="54"/>
      <c r="J235" s="39"/>
      <c r="K235" s="54"/>
      <c r="P235" s="22">
        <f t="shared" si="111"/>
        <v>0</v>
      </c>
      <c r="Q235" s="22" t="str">
        <f t="shared" si="113"/>
        <v>00</v>
      </c>
      <c r="R235" s="22">
        <f t="shared" si="112"/>
        <v>0</v>
      </c>
      <c r="S235" s="22" t="str">
        <f t="shared" si="114"/>
        <v>00</v>
      </c>
      <c r="T235" s="22">
        <f t="shared" si="117"/>
        <v>1900</v>
      </c>
      <c r="U235" s="22">
        <f t="shared" si="117"/>
        <v>1900</v>
      </c>
      <c r="W235" s="22" t="str">
        <f t="shared" si="115"/>
        <v>190000</v>
      </c>
      <c r="X235" s="22" t="str">
        <f t="shared" si="116"/>
        <v>190000</v>
      </c>
    </row>
    <row r="236" spans="2:24">
      <c r="B236" s="22"/>
      <c r="C236" s="22"/>
      <c r="D236" s="77"/>
      <c r="E236" s="54"/>
      <c r="F236" s="77"/>
      <c r="G236" s="77"/>
      <c r="H236" s="78"/>
      <c r="I236" s="54"/>
      <c r="J236" s="39"/>
      <c r="K236" s="54"/>
      <c r="P236" s="22">
        <f t="shared" si="111"/>
        <v>0</v>
      </c>
      <c r="Q236" s="22" t="str">
        <f t="shared" si="113"/>
        <v>00</v>
      </c>
      <c r="R236" s="22">
        <f t="shared" si="112"/>
        <v>0</v>
      </c>
      <c r="S236" s="22" t="str">
        <f t="shared" si="114"/>
        <v>00</v>
      </c>
      <c r="T236" s="22">
        <f t="shared" si="117"/>
        <v>1900</v>
      </c>
      <c r="U236" s="22">
        <f t="shared" si="117"/>
        <v>1900</v>
      </c>
      <c r="W236" s="22" t="str">
        <f t="shared" si="115"/>
        <v>190000</v>
      </c>
      <c r="X236" s="22" t="str">
        <f t="shared" si="116"/>
        <v>190000</v>
      </c>
    </row>
    <row r="237" spans="2:24">
      <c r="B237" s="22"/>
      <c r="C237" s="22"/>
      <c r="D237" s="77"/>
      <c r="E237" s="54"/>
      <c r="F237" s="77"/>
      <c r="G237" s="77"/>
      <c r="H237" s="78"/>
      <c r="I237" s="54"/>
      <c r="J237" s="39"/>
      <c r="K237" s="54"/>
      <c r="P237" s="22">
        <f t="shared" si="111"/>
        <v>0</v>
      </c>
      <c r="Q237" s="22" t="str">
        <f t="shared" si="113"/>
        <v>00</v>
      </c>
      <c r="R237" s="22">
        <f t="shared" si="112"/>
        <v>0</v>
      </c>
      <c r="S237" s="22" t="str">
        <f t="shared" si="114"/>
        <v>00</v>
      </c>
      <c r="T237" s="22">
        <f t="shared" si="117"/>
        <v>1900</v>
      </c>
      <c r="U237" s="22">
        <f t="shared" si="117"/>
        <v>1900</v>
      </c>
      <c r="W237" s="22" t="str">
        <f t="shared" si="115"/>
        <v>190000</v>
      </c>
      <c r="X237" s="22" t="str">
        <f t="shared" si="116"/>
        <v>190000</v>
      </c>
    </row>
    <row r="238" spans="2:24">
      <c r="B238" s="22"/>
      <c r="C238" s="22"/>
      <c r="D238" s="77"/>
      <c r="E238" s="54"/>
      <c r="F238" s="77"/>
      <c r="G238" s="77"/>
      <c r="H238" s="78"/>
      <c r="I238" s="54"/>
      <c r="J238" s="39"/>
      <c r="K238" s="54"/>
      <c r="P238" s="22">
        <f t="shared" si="111"/>
        <v>0</v>
      </c>
      <c r="Q238" s="22" t="str">
        <f t="shared" si="113"/>
        <v>00</v>
      </c>
      <c r="R238" s="22">
        <f t="shared" si="112"/>
        <v>0</v>
      </c>
      <c r="S238" s="22" t="str">
        <f t="shared" si="114"/>
        <v>00</v>
      </c>
      <c r="T238" s="22">
        <f t="shared" si="117"/>
        <v>1900</v>
      </c>
      <c r="U238" s="22">
        <f t="shared" si="117"/>
        <v>1900</v>
      </c>
      <c r="W238" s="22" t="str">
        <f t="shared" si="115"/>
        <v>190000</v>
      </c>
      <c r="X238" s="22" t="str">
        <f t="shared" si="116"/>
        <v>190000</v>
      </c>
    </row>
    <row r="239" spans="2:24">
      <c r="B239" s="22"/>
      <c r="C239" s="22"/>
      <c r="D239" s="77"/>
      <c r="E239" s="54"/>
      <c r="F239" s="77"/>
      <c r="G239" s="77"/>
      <c r="H239" s="78"/>
      <c r="I239" s="54"/>
      <c r="J239" s="39"/>
      <c r="K239" s="54"/>
      <c r="P239" s="22">
        <f t="shared" si="111"/>
        <v>0</v>
      </c>
      <c r="Q239" s="22" t="str">
        <f t="shared" si="113"/>
        <v>00</v>
      </c>
      <c r="R239" s="22">
        <f t="shared" si="112"/>
        <v>0</v>
      </c>
      <c r="S239" s="22" t="str">
        <f t="shared" si="114"/>
        <v>00</v>
      </c>
      <c r="T239" s="22">
        <f t="shared" si="117"/>
        <v>1900</v>
      </c>
      <c r="U239" s="22">
        <f t="shared" si="117"/>
        <v>1900</v>
      </c>
      <c r="W239" s="22" t="str">
        <f t="shared" si="115"/>
        <v>190000</v>
      </c>
      <c r="X239" s="22" t="str">
        <f t="shared" si="116"/>
        <v>190000</v>
      </c>
    </row>
    <row r="240" spans="2:24">
      <c r="B240" s="22"/>
      <c r="C240" s="22"/>
      <c r="D240" s="77"/>
      <c r="E240" s="54"/>
      <c r="F240" s="77"/>
      <c r="G240" s="77"/>
      <c r="H240" s="78"/>
      <c r="I240" s="54"/>
      <c r="J240" s="39"/>
      <c r="K240" s="54"/>
      <c r="P240" s="22">
        <f t="shared" si="111"/>
        <v>0</v>
      </c>
      <c r="Q240" s="22" t="str">
        <f t="shared" si="113"/>
        <v>00</v>
      </c>
      <c r="R240" s="22">
        <f t="shared" si="112"/>
        <v>0</v>
      </c>
      <c r="S240" s="22" t="str">
        <f t="shared" si="114"/>
        <v>00</v>
      </c>
      <c r="T240" s="22">
        <f t="shared" si="117"/>
        <v>1900</v>
      </c>
      <c r="U240" s="22">
        <f t="shared" si="117"/>
        <v>1900</v>
      </c>
      <c r="W240" s="22" t="str">
        <f t="shared" si="115"/>
        <v>190000</v>
      </c>
      <c r="X240" s="22" t="str">
        <f t="shared" si="116"/>
        <v>190000</v>
      </c>
    </row>
    <row r="241" spans="2:24">
      <c r="B241" s="22"/>
      <c r="C241" s="22"/>
      <c r="D241" s="77"/>
      <c r="E241" s="54"/>
      <c r="F241" s="77"/>
      <c r="G241" s="77"/>
      <c r="H241" s="78"/>
      <c r="I241" s="54"/>
      <c r="J241" s="39"/>
      <c r="K241" s="54"/>
      <c r="P241" s="22">
        <f t="shared" si="111"/>
        <v>0</v>
      </c>
      <c r="Q241" s="22" t="str">
        <f t="shared" si="113"/>
        <v>00</v>
      </c>
      <c r="R241" s="22">
        <f t="shared" si="112"/>
        <v>0</v>
      </c>
      <c r="S241" s="22" t="str">
        <f t="shared" si="114"/>
        <v>00</v>
      </c>
      <c r="T241" s="22">
        <f t="shared" si="117"/>
        <v>1900</v>
      </c>
      <c r="U241" s="22">
        <f t="shared" si="117"/>
        <v>1900</v>
      </c>
      <c r="W241" s="22" t="str">
        <f t="shared" si="115"/>
        <v>190000</v>
      </c>
      <c r="X241" s="22" t="str">
        <f t="shared" si="116"/>
        <v>190000</v>
      </c>
    </row>
    <row r="242" spans="2:24">
      <c r="B242" s="22"/>
      <c r="C242" s="22"/>
      <c r="D242" s="77"/>
      <c r="E242" s="54"/>
      <c r="F242" s="77"/>
      <c r="G242" s="77"/>
      <c r="H242" s="78"/>
      <c r="I242" s="54"/>
      <c r="J242" s="39"/>
      <c r="K242" s="54"/>
      <c r="P242" s="22">
        <f t="shared" si="111"/>
        <v>0</v>
      </c>
      <c r="Q242" s="22" t="str">
        <f t="shared" si="113"/>
        <v>00</v>
      </c>
      <c r="R242" s="22">
        <f t="shared" si="112"/>
        <v>0</v>
      </c>
      <c r="S242" s="22" t="str">
        <f t="shared" si="114"/>
        <v>00</v>
      </c>
      <c r="T242" s="22">
        <f t="shared" si="117"/>
        <v>1900</v>
      </c>
      <c r="U242" s="22">
        <f t="shared" si="117"/>
        <v>1900</v>
      </c>
      <c r="W242" s="22" t="str">
        <f t="shared" si="115"/>
        <v>190000</v>
      </c>
      <c r="X242" s="22" t="str">
        <f t="shared" si="116"/>
        <v>190000</v>
      </c>
    </row>
    <row r="243" spans="2:24">
      <c r="B243" s="22"/>
      <c r="C243" s="22"/>
      <c r="D243" s="77"/>
      <c r="E243" s="54"/>
      <c r="F243" s="77"/>
      <c r="G243" s="77"/>
      <c r="H243" s="78"/>
      <c r="I243" s="54"/>
      <c r="J243" s="39"/>
      <c r="K243" s="54"/>
      <c r="P243" s="22">
        <f t="shared" si="111"/>
        <v>0</v>
      </c>
      <c r="Q243" s="22" t="str">
        <f t="shared" si="113"/>
        <v>00</v>
      </c>
      <c r="R243" s="22">
        <f t="shared" si="112"/>
        <v>0</v>
      </c>
      <c r="S243" s="22" t="str">
        <f t="shared" si="114"/>
        <v>00</v>
      </c>
      <c r="T243" s="22">
        <f t="shared" si="117"/>
        <v>1900</v>
      </c>
      <c r="U243" s="22">
        <f t="shared" si="117"/>
        <v>1900</v>
      </c>
      <c r="W243" s="22" t="str">
        <f t="shared" si="115"/>
        <v>190000</v>
      </c>
      <c r="X243" s="22" t="str">
        <f t="shared" si="116"/>
        <v>190000</v>
      </c>
    </row>
    <row r="244" spans="2:24">
      <c r="B244" s="22"/>
      <c r="C244" s="22"/>
      <c r="D244" s="77"/>
      <c r="E244" s="54"/>
      <c r="F244" s="77"/>
      <c r="G244" s="77"/>
      <c r="H244" s="78"/>
      <c r="I244" s="54"/>
      <c r="J244" s="39"/>
      <c r="K244" s="54"/>
      <c r="P244" s="22">
        <f t="shared" si="111"/>
        <v>0</v>
      </c>
      <c r="Q244" s="22" t="str">
        <f t="shared" si="113"/>
        <v>00</v>
      </c>
      <c r="R244" s="22">
        <f t="shared" si="112"/>
        <v>0</v>
      </c>
      <c r="S244" s="22" t="str">
        <f t="shared" si="114"/>
        <v>00</v>
      </c>
      <c r="T244" s="22">
        <f t="shared" si="117"/>
        <v>1900</v>
      </c>
      <c r="U244" s="22">
        <f t="shared" si="117"/>
        <v>1900</v>
      </c>
      <c r="W244" s="22" t="str">
        <f t="shared" si="115"/>
        <v>190000</v>
      </c>
      <c r="X244" s="22" t="str">
        <f t="shared" si="116"/>
        <v>190000</v>
      </c>
    </row>
    <row r="245" spans="2:24">
      <c r="B245" s="22"/>
      <c r="C245" s="22"/>
      <c r="D245" s="77"/>
      <c r="E245" s="54"/>
      <c r="F245" s="77"/>
      <c r="G245" s="77"/>
      <c r="H245" s="78"/>
      <c r="I245" s="54"/>
      <c r="J245" s="39"/>
      <c r="K245" s="54"/>
      <c r="P245" s="22">
        <f t="shared" si="111"/>
        <v>0</v>
      </c>
      <c r="Q245" s="22" t="str">
        <f t="shared" si="113"/>
        <v>00</v>
      </c>
      <c r="R245" s="22">
        <f t="shared" si="112"/>
        <v>0</v>
      </c>
      <c r="S245" s="22" t="str">
        <f t="shared" si="114"/>
        <v>00</v>
      </c>
      <c r="T245" s="22">
        <f t="shared" si="117"/>
        <v>1900</v>
      </c>
      <c r="U245" s="22">
        <f t="shared" si="117"/>
        <v>1900</v>
      </c>
      <c r="W245" s="22" t="str">
        <f t="shared" si="115"/>
        <v>190000</v>
      </c>
      <c r="X245" s="22" t="str">
        <f t="shared" si="116"/>
        <v>190000</v>
      </c>
    </row>
    <row r="246" spans="2:24">
      <c r="B246" s="22"/>
      <c r="C246" s="22"/>
      <c r="D246" s="77"/>
      <c r="E246" s="54"/>
      <c r="F246" s="77"/>
      <c r="G246" s="77"/>
      <c r="H246" s="78"/>
      <c r="I246" s="54"/>
      <c r="J246" s="39"/>
      <c r="K246" s="54"/>
      <c r="P246" s="22">
        <f t="shared" si="111"/>
        <v>0</v>
      </c>
      <c r="Q246" s="22" t="str">
        <f t="shared" si="113"/>
        <v>00</v>
      </c>
      <c r="R246" s="22">
        <f t="shared" si="112"/>
        <v>0</v>
      </c>
      <c r="S246" s="22" t="str">
        <f t="shared" si="114"/>
        <v>00</v>
      </c>
      <c r="T246" s="22">
        <f t="shared" si="117"/>
        <v>1900</v>
      </c>
      <c r="U246" s="22">
        <f t="shared" si="117"/>
        <v>1900</v>
      </c>
      <c r="W246" s="22" t="str">
        <f t="shared" si="115"/>
        <v>190000</v>
      </c>
      <c r="X246" s="22" t="str">
        <f t="shared" si="116"/>
        <v>190000</v>
      </c>
    </row>
    <row r="247" spans="2:24">
      <c r="B247" s="22"/>
      <c r="C247" s="22"/>
      <c r="D247" s="77"/>
      <c r="E247" s="54"/>
      <c r="F247" s="77"/>
      <c r="G247" s="77"/>
      <c r="H247" s="78"/>
      <c r="I247" s="54"/>
      <c r="J247" s="39"/>
      <c r="K247" s="54"/>
      <c r="P247" s="22">
        <f t="shared" si="111"/>
        <v>0</v>
      </c>
      <c r="Q247" s="22" t="str">
        <f t="shared" si="113"/>
        <v>00</v>
      </c>
      <c r="R247" s="22">
        <f t="shared" si="112"/>
        <v>0</v>
      </c>
      <c r="S247" s="22" t="str">
        <f t="shared" si="114"/>
        <v>00</v>
      </c>
      <c r="T247" s="22">
        <f t="shared" si="117"/>
        <v>1900</v>
      </c>
      <c r="U247" s="22">
        <f t="shared" si="117"/>
        <v>1900</v>
      </c>
      <c r="W247" s="22" t="str">
        <f t="shared" si="115"/>
        <v>190000</v>
      </c>
      <c r="X247" s="22" t="str">
        <f t="shared" si="116"/>
        <v>190000</v>
      </c>
    </row>
    <row r="248" spans="2:24">
      <c r="B248" s="22"/>
      <c r="C248" s="22"/>
      <c r="D248" s="77"/>
      <c r="E248" s="54"/>
      <c r="F248" s="77"/>
      <c r="G248" s="77"/>
      <c r="H248" s="78"/>
      <c r="I248" s="54"/>
      <c r="J248" s="39"/>
      <c r="K248" s="54"/>
      <c r="P248" s="22">
        <f t="shared" si="111"/>
        <v>0</v>
      </c>
      <c r="Q248" s="22" t="str">
        <f t="shared" si="113"/>
        <v>00</v>
      </c>
      <c r="R248" s="22">
        <f t="shared" si="112"/>
        <v>0</v>
      </c>
      <c r="S248" s="22" t="str">
        <f t="shared" si="114"/>
        <v>00</v>
      </c>
      <c r="T248" s="22">
        <f t="shared" si="117"/>
        <v>1900</v>
      </c>
      <c r="U248" s="22">
        <f t="shared" si="117"/>
        <v>1900</v>
      </c>
      <c r="W248" s="22" t="str">
        <f t="shared" si="115"/>
        <v>190000</v>
      </c>
      <c r="X248" s="22" t="str">
        <f t="shared" si="116"/>
        <v>190000</v>
      </c>
    </row>
    <row r="249" spans="2:24">
      <c r="B249" s="22"/>
      <c r="C249" s="22"/>
      <c r="D249" s="77"/>
      <c r="E249" s="54"/>
      <c r="F249" s="77"/>
      <c r="G249" s="77"/>
      <c r="H249" s="78"/>
      <c r="I249" s="54"/>
      <c r="J249" s="39"/>
      <c r="K249" s="54"/>
      <c r="P249" s="22">
        <f t="shared" si="111"/>
        <v>0</v>
      </c>
      <c r="Q249" s="22" t="str">
        <f t="shared" si="113"/>
        <v>00</v>
      </c>
      <c r="R249" s="22">
        <f t="shared" si="112"/>
        <v>0</v>
      </c>
      <c r="S249" s="22" t="str">
        <f t="shared" si="114"/>
        <v>00</v>
      </c>
      <c r="T249" s="22">
        <f t="shared" si="117"/>
        <v>1900</v>
      </c>
      <c r="U249" s="22">
        <f t="shared" si="117"/>
        <v>1900</v>
      </c>
      <c r="W249" s="22" t="str">
        <f t="shared" si="115"/>
        <v>190000</v>
      </c>
      <c r="X249" s="22" t="str">
        <f t="shared" si="116"/>
        <v>190000</v>
      </c>
    </row>
    <row r="250" spans="2:24">
      <c r="B250" s="22"/>
      <c r="C250" s="22"/>
      <c r="D250" s="77"/>
      <c r="E250" s="54"/>
      <c r="F250" s="77"/>
      <c r="G250" s="77"/>
      <c r="H250" s="78"/>
      <c r="I250" s="54"/>
      <c r="J250" s="39"/>
      <c r="K250" s="54"/>
      <c r="P250" s="22">
        <f t="shared" si="111"/>
        <v>0</v>
      </c>
      <c r="Q250" s="22" t="str">
        <f t="shared" si="113"/>
        <v>00</v>
      </c>
      <c r="R250" s="22">
        <f t="shared" si="112"/>
        <v>0</v>
      </c>
      <c r="S250" s="22" t="str">
        <f t="shared" si="114"/>
        <v>00</v>
      </c>
      <c r="T250" s="22">
        <f t="shared" si="117"/>
        <v>1900</v>
      </c>
      <c r="U250" s="22">
        <f t="shared" si="117"/>
        <v>1900</v>
      </c>
      <c r="W250" s="22" t="str">
        <f t="shared" si="115"/>
        <v>190000</v>
      </c>
      <c r="X250" s="22" t="str">
        <f t="shared" si="116"/>
        <v>190000</v>
      </c>
    </row>
    <row r="251" spans="2:24">
      <c r="B251" s="22"/>
      <c r="C251" s="22"/>
      <c r="D251" s="77"/>
      <c r="E251" s="54"/>
      <c r="F251" s="77"/>
      <c r="G251" s="77"/>
      <c r="H251" s="78"/>
      <c r="I251" s="54"/>
      <c r="J251" s="39"/>
      <c r="K251" s="54"/>
      <c r="P251" s="22">
        <f t="shared" si="111"/>
        <v>0</v>
      </c>
      <c r="Q251" s="22" t="str">
        <f t="shared" si="113"/>
        <v>00</v>
      </c>
      <c r="R251" s="22">
        <f t="shared" si="112"/>
        <v>0</v>
      </c>
      <c r="S251" s="22" t="str">
        <f t="shared" si="114"/>
        <v>00</v>
      </c>
      <c r="T251" s="22">
        <f t="shared" si="117"/>
        <v>1900</v>
      </c>
      <c r="U251" s="22">
        <f t="shared" si="117"/>
        <v>1900</v>
      </c>
      <c r="W251" s="22" t="str">
        <f t="shared" si="115"/>
        <v>190000</v>
      </c>
      <c r="X251" s="22" t="str">
        <f t="shared" si="116"/>
        <v>190000</v>
      </c>
    </row>
    <row r="252" spans="2:24">
      <c r="B252" s="22"/>
      <c r="C252" s="22"/>
      <c r="D252" s="77"/>
      <c r="E252" s="54"/>
      <c r="F252" s="77"/>
      <c r="G252" s="77"/>
      <c r="H252" s="78"/>
      <c r="I252" s="54"/>
      <c r="J252" s="39"/>
      <c r="K252" s="54"/>
      <c r="P252" s="22">
        <f t="shared" si="111"/>
        <v>0</v>
      </c>
      <c r="Q252" s="22" t="str">
        <f t="shared" si="113"/>
        <v>00</v>
      </c>
      <c r="R252" s="22">
        <f t="shared" si="112"/>
        <v>0</v>
      </c>
      <c r="S252" s="22" t="str">
        <f t="shared" si="114"/>
        <v>00</v>
      </c>
      <c r="T252" s="22">
        <f t="shared" si="117"/>
        <v>1900</v>
      </c>
      <c r="U252" s="22">
        <f t="shared" si="117"/>
        <v>1900</v>
      </c>
      <c r="W252" s="22" t="str">
        <f t="shared" si="115"/>
        <v>190000</v>
      </c>
      <c r="X252" s="22" t="str">
        <f t="shared" si="116"/>
        <v>190000</v>
      </c>
    </row>
    <row r="253" spans="2:24">
      <c r="B253" s="22"/>
      <c r="C253" s="22"/>
      <c r="D253" s="77"/>
      <c r="E253" s="54"/>
      <c r="F253" s="77"/>
      <c r="G253" s="77"/>
      <c r="H253" s="78"/>
      <c r="I253" s="54"/>
      <c r="J253" s="39"/>
      <c r="K253" s="54"/>
      <c r="P253" s="22">
        <f t="shared" si="111"/>
        <v>0</v>
      </c>
      <c r="Q253" s="22" t="str">
        <f t="shared" si="113"/>
        <v>00</v>
      </c>
      <c r="R253" s="22">
        <f t="shared" si="112"/>
        <v>0</v>
      </c>
      <c r="S253" s="22" t="str">
        <f t="shared" si="114"/>
        <v>00</v>
      </c>
      <c r="T253" s="22">
        <f t="shared" si="117"/>
        <v>1900</v>
      </c>
      <c r="U253" s="22">
        <f t="shared" si="117"/>
        <v>1900</v>
      </c>
      <c r="W253" s="22" t="str">
        <f t="shared" si="115"/>
        <v>190000</v>
      </c>
      <c r="X253" s="22" t="str">
        <f t="shared" si="116"/>
        <v>190000</v>
      </c>
    </row>
    <row r="254" spans="2:24">
      <c r="B254" s="22"/>
      <c r="C254" s="22"/>
      <c r="D254" s="77"/>
      <c r="E254" s="54"/>
      <c r="F254" s="77"/>
      <c r="G254" s="77"/>
      <c r="H254" s="78"/>
      <c r="I254" s="54"/>
      <c r="J254" s="39"/>
      <c r="K254" s="54"/>
      <c r="P254" s="22">
        <f t="shared" si="111"/>
        <v>0</v>
      </c>
      <c r="Q254" s="22" t="str">
        <f t="shared" si="113"/>
        <v>00</v>
      </c>
      <c r="R254" s="22">
        <f t="shared" si="112"/>
        <v>0</v>
      </c>
      <c r="S254" s="22" t="str">
        <f t="shared" si="114"/>
        <v>00</v>
      </c>
      <c r="T254" s="22">
        <f t="shared" si="117"/>
        <v>1900</v>
      </c>
      <c r="U254" s="22">
        <f t="shared" si="117"/>
        <v>1900</v>
      </c>
      <c r="W254" s="22" t="str">
        <f t="shared" si="115"/>
        <v>190000</v>
      </c>
      <c r="X254" s="22" t="str">
        <f t="shared" si="116"/>
        <v>190000</v>
      </c>
    </row>
    <row r="255" spans="2:24">
      <c r="B255" s="22"/>
      <c r="C255" s="22"/>
      <c r="D255" s="77"/>
      <c r="E255" s="54"/>
      <c r="F255" s="77"/>
      <c r="G255" s="77"/>
      <c r="H255" s="78"/>
      <c r="I255" s="54"/>
      <c r="J255" s="39"/>
      <c r="K255" s="54"/>
      <c r="P255" s="22">
        <f t="shared" si="111"/>
        <v>0</v>
      </c>
      <c r="Q255" s="22" t="str">
        <f t="shared" si="113"/>
        <v>00</v>
      </c>
      <c r="R255" s="22">
        <f t="shared" si="112"/>
        <v>0</v>
      </c>
      <c r="S255" s="22" t="str">
        <f t="shared" si="114"/>
        <v>00</v>
      </c>
      <c r="T255" s="22">
        <f t="shared" si="117"/>
        <v>1900</v>
      </c>
      <c r="U255" s="22">
        <f t="shared" si="117"/>
        <v>1900</v>
      </c>
      <c r="W255" s="22" t="str">
        <f t="shared" si="115"/>
        <v>190000</v>
      </c>
      <c r="X255" s="22" t="str">
        <f t="shared" si="116"/>
        <v>190000</v>
      </c>
    </row>
    <row r="256" spans="2:24">
      <c r="B256" s="22"/>
      <c r="C256" s="22"/>
      <c r="D256" s="77"/>
      <c r="E256" s="54"/>
      <c r="F256" s="77"/>
      <c r="G256" s="77"/>
      <c r="H256" s="78"/>
      <c r="I256" s="54"/>
      <c r="J256" s="39"/>
      <c r="K256" s="54"/>
      <c r="P256" s="22">
        <f t="shared" ref="P256:P319" si="118">WEEKNUM(F256,2)-1</f>
        <v>0</v>
      </c>
      <c r="Q256" s="22" t="str">
        <f t="shared" si="113"/>
        <v>00</v>
      </c>
      <c r="R256" s="22">
        <f t="shared" ref="R256:R319" si="119">WEEKNUM(G256,2)-1</f>
        <v>0</v>
      </c>
      <c r="S256" s="22" t="str">
        <f t="shared" si="114"/>
        <v>00</v>
      </c>
      <c r="T256" s="22">
        <f t="shared" si="117"/>
        <v>1900</v>
      </c>
      <c r="U256" s="22">
        <f t="shared" si="117"/>
        <v>1900</v>
      </c>
      <c r="W256" s="22" t="str">
        <f t="shared" si="115"/>
        <v>190000</v>
      </c>
      <c r="X256" s="22" t="str">
        <f t="shared" si="116"/>
        <v>190000</v>
      </c>
    </row>
    <row r="257" spans="2:24">
      <c r="B257" s="22"/>
      <c r="C257" s="22"/>
      <c r="D257" s="77"/>
      <c r="E257" s="54"/>
      <c r="F257" s="77"/>
      <c r="G257" s="77"/>
      <c r="H257" s="78"/>
      <c r="I257" s="54"/>
      <c r="J257" s="39"/>
      <c r="K257" s="54"/>
      <c r="P257" s="22">
        <f t="shared" si="118"/>
        <v>0</v>
      </c>
      <c r="Q257" s="22" t="str">
        <f t="shared" si="113"/>
        <v>00</v>
      </c>
      <c r="R257" s="22">
        <f t="shared" si="119"/>
        <v>0</v>
      </c>
      <c r="S257" s="22" t="str">
        <f t="shared" si="114"/>
        <v>00</v>
      </c>
      <c r="T257" s="22">
        <f t="shared" si="117"/>
        <v>1900</v>
      </c>
      <c r="U257" s="22">
        <f t="shared" si="117"/>
        <v>1900</v>
      </c>
      <c r="W257" s="22" t="str">
        <f t="shared" si="115"/>
        <v>190000</v>
      </c>
      <c r="X257" s="22" t="str">
        <f t="shared" si="116"/>
        <v>190000</v>
      </c>
    </row>
    <row r="258" spans="2:24">
      <c r="B258" s="22"/>
      <c r="C258" s="22"/>
      <c r="D258" s="77"/>
      <c r="E258" s="54"/>
      <c r="F258" s="77"/>
      <c r="G258" s="77"/>
      <c r="H258" s="78"/>
      <c r="I258" s="54"/>
      <c r="J258" s="39"/>
      <c r="K258" s="54"/>
      <c r="P258" s="22">
        <f t="shared" si="118"/>
        <v>0</v>
      </c>
      <c r="Q258" s="22" t="str">
        <f t="shared" si="113"/>
        <v>00</v>
      </c>
      <c r="R258" s="22">
        <f t="shared" si="119"/>
        <v>0</v>
      </c>
      <c r="S258" s="22" t="str">
        <f t="shared" si="114"/>
        <v>00</v>
      </c>
      <c r="T258" s="22">
        <f t="shared" si="117"/>
        <v>1900</v>
      </c>
      <c r="U258" s="22">
        <f t="shared" si="117"/>
        <v>1900</v>
      </c>
      <c r="W258" s="22" t="str">
        <f t="shared" si="115"/>
        <v>190000</v>
      </c>
      <c r="X258" s="22" t="str">
        <f t="shared" si="116"/>
        <v>190000</v>
      </c>
    </row>
    <row r="259" spans="2:24">
      <c r="B259" s="22"/>
      <c r="C259" s="22"/>
      <c r="D259" s="77"/>
      <c r="E259" s="54"/>
      <c r="F259" s="77"/>
      <c r="G259" s="77"/>
      <c r="H259" s="78"/>
      <c r="I259" s="54"/>
      <c r="J259" s="39"/>
      <c r="K259" s="54"/>
      <c r="P259" s="22">
        <f t="shared" si="118"/>
        <v>0</v>
      </c>
      <c r="Q259" s="22" t="str">
        <f t="shared" ref="Q259:Q322" si="120">TEXT(P259,"00")</f>
        <v>00</v>
      </c>
      <c r="R259" s="22">
        <f t="shared" si="119"/>
        <v>0</v>
      </c>
      <c r="S259" s="22" t="str">
        <f t="shared" ref="S259:S322" si="121">TEXT(R259,"00")</f>
        <v>00</v>
      </c>
      <c r="T259" s="22">
        <f t="shared" si="117"/>
        <v>1900</v>
      </c>
      <c r="U259" s="22">
        <f t="shared" si="117"/>
        <v>1900</v>
      </c>
      <c r="W259" s="22" t="str">
        <f t="shared" ref="W259:W322" si="122">T259&amp;Q259</f>
        <v>190000</v>
      </c>
      <c r="X259" s="22" t="str">
        <f t="shared" ref="X259:X322" si="123">U259&amp;S259</f>
        <v>190000</v>
      </c>
    </row>
    <row r="260" spans="2:24">
      <c r="B260" s="22"/>
      <c r="C260" s="22"/>
      <c r="D260" s="77"/>
      <c r="E260" s="54"/>
      <c r="F260" s="77"/>
      <c r="G260" s="77"/>
      <c r="H260" s="78"/>
      <c r="I260" s="54"/>
      <c r="J260" s="39"/>
      <c r="K260" s="54"/>
      <c r="P260" s="22">
        <f t="shared" si="118"/>
        <v>0</v>
      </c>
      <c r="Q260" s="22" t="str">
        <f t="shared" si="120"/>
        <v>00</v>
      </c>
      <c r="R260" s="22">
        <f t="shared" si="119"/>
        <v>0</v>
      </c>
      <c r="S260" s="22" t="str">
        <f t="shared" si="121"/>
        <v>00</v>
      </c>
      <c r="T260" s="22">
        <f t="shared" si="117"/>
        <v>1900</v>
      </c>
      <c r="U260" s="22">
        <f t="shared" si="117"/>
        <v>1900</v>
      </c>
      <c r="W260" s="22" t="str">
        <f t="shared" si="122"/>
        <v>190000</v>
      </c>
      <c r="X260" s="22" t="str">
        <f t="shared" si="123"/>
        <v>190000</v>
      </c>
    </row>
    <row r="261" spans="2:24">
      <c r="B261" s="22"/>
      <c r="C261" s="22"/>
      <c r="D261" s="77"/>
      <c r="E261" s="54"/>
      <c r="F261" s="77"/>
      <c r="G261" s="77"/>
      <c r="H261" s="78"/>
      <c r="I261" s="54"/>
      <c r="J261" s="39"/>
      <c r="K261" s="54"/>
      <c r="P261" s="22">
        <f t="shared" si="118"/>
        <v>0</v>
      </c>
      <c r="Q261" s="22" t="str">
        <f t="shared" si="120"/>
        <v>00</v>
      </c>
      <c r="R261" s="22">
        <f t="shared" si="119"/>
        <v>0</v>
      </c>
      <c r="S261" s="22" t="str">
        <f t="shared" si="121"/>
        <v>00</v>
      </c>
      <c r="T261" s="22">
        <f t="shared" si="117"/>
        <v>1900</v>
      </c>
      <c r="U261" s="22">
        <f t="shared" si="117"/>
        <v>1900</v>
      </c>
      <c r="W261" s="22" t="str">
        <f t="shared" si="122"/>
        <v>190000</v>
      </c>
      <c r="X261" s="22" t="str">
        <f t="shared" si="123"/>
        <v>190000</v>
      </c>
    </row>
    <row r="262" spans="2:24">
      <c r="B262" s="22"/>
      <c r="C262" s="22"/>
      <c r="D262" s="77"/>
      <c r="E262" s="54"/>
      <c r="F262" s="77"/>
      <c r="G262" s="77"/>
      <c r="H262" s="78"/>
      <c r="I262" s="54"/>
      <c r="J262" s="39"/>
      <c r="K262" s="54"/>
      <c r="P262" s="22">
        <f t="shared" si="118"/>
        <v>0</v>
      </c>
      <c r="Q262" s="22" t="str">
        <f t="shared" si="120"/>
        <v>00</v>
      </c>
      <c r="R262" s="22">
        <f t="shared" si="119"/>
        <v>0</v>
      </c>
      <c r="S262" s="22" t="str">
        <f t="shared" si="121"/>
        <v>00</v>
      </c>
      <c r="T262" s="22">
        <f t="shared" si="117"/>
        <v>1900</v>
      </c>
      <c r="U262" s="22">
        <f t="shared" si="117"/>
        <v>1900</v>
      </c>
      <c r="W262" s="22" t="str">
        <f t="shared" si="122"/>
        <v>190000</v>
      </c>
      <c r="X262" s="22" t="str">
        <f t="shared" si="123"/>
        <v>190000</v>
      </c>
    </row>
    <row r="263" spans="2:24">
      <c r="B263" s="22"/>
      <c r="C263" s="22"/>
      <c r="D263" s="77"/>
      <c r="E263" s="54"/>
      <c r="F263" s="77"/>
      <c r="G263" s="77"/>
      <c r="H263" s="78"/>
      <c r="I263" s="54"/>
      <c r="J263" s="39"/>
      <c r="K263" s="54"/>
      <c r="P263" s="22">
        <f t="shared" si="118"/>
        <v>0</v>
      </c>
      <c r="Q263" s="22" t="str">
        <f t="shared" si="120"/>
        <v>00</v>
      </c>
      <c r="R263" s="22">
        <f t="shared" si="119"/>
        <v>0</v>
      </c>
      <c r="S263" s="22" t="str">
        <f t="shared" si="121"/>
        <v>00</v>
      </c>
      <c r="T263" s="22">
        <f t="shared" si="117"/>
        <v>1900</v>
      </c>
      <c r="U263" s="22">
        <f t="shared" si="117"/>
        <v>1900</v>
      </c>
      <c r="W263" s="22" t="str">
        <f t="shared" si="122"/>
        <v>190000</v>
      </c>
      <c r="X263" s="22" t="str">
        <f t="shared" si="123"/>
        <v>190000</v>
      </c>
    </row>
    <row r="264" spans="2:24">
      <c r="B264" s="22"/>
      <c r="C264" s="22"/>
      <c r="D264" s="77"/>
      <c r="E264" s="54"/>
      <c r="F264" s="77"/>
      <c r="G264" s="77"/>
      <c r="H264" s="78"/>
      <c r="I264" s="54"/>
      <c r="J264" s="39"/>
      <c r="K264" s="54"/>
      <c r="P264" s="22">
        <f t="shared" si="118"/>
        <v>0</v>
      </c>
      <c r="Q264" s="22" t="str">
        <f t="shared" si="120"/>
        <v>00</v>
      </c>
      <c r="R264" s="22">
        <f t="shared" si="119"/>
        <v>0</v>
      </c>
      <c r="S264" s="22" t="str">
        <f t="shared" si="121"/>
        <v>00</v>
      </c>
      <c r="T264" s="22">
        <f t="shared" si="117"/>
        <v>1900</v>
      </c>
      <c r="U264" s="22">
        <f t="shared" si="117"/>
        <v>1900</v>
      </c>
      <c r="W264" s="22" t="str">
        <f t="shared" si="122"/>
        <v>190000</v>
      </c>
      <c r="X264" s="22" t="str">
        <f t="shared" si="123"/>
        <v>190000</v>
      </c>
    </row>
    <row r="265" spans="2:24">
      <c r="B265" s="22"/>
      <c r="C265" s="22"/>
      <c r="D265" s="77"/>
      <c r="E265" s="54"/>
      <c r="F265" s="77"/>
      <c r="G265" s="77"/>
      <c r="H265" s="78"/>
      <c r="I265" s="54"/>
      <c r="J265" s="39"/>
      <c r="K265" s="54"/>
      <c r="P265" s="22">
        <f t="shared" si="118"/>
        <v>0</v>
      </c>
      <c r="Q265" s="22" t="str">
        <f t="shared" si="120"/>
        <v>00</v>
      </c>
      <c r="R265" s="22">
        <f t="shared" si="119"/>
        <v>0</v>
      </c>
      <c r="S265" s="22" t="str">
        <f t="shared" si="121"/>
        <v>00</v>
      </c>
      <c r="T265" s="22">
        <f t="shared" si="117"/>
        <v>1900</v>
      </c>
      <c r="U265" s="22">
        <f t="shared" si="117"/>
        <v>1900</v>
      </c>
      <c r="W265" s="22" t="str">
        <f t="shared" si="122"/>
        <v>190000</v>
      </c>
      <c r="X265" s="22" t="str">
        <f t="shared" si="123"/>
        <v>190000</v>
      </c>
    </row>
    <row r="266" spans="2:24">
      <c r="B266" s="22"/>
      <c r="C266" s="22"/>
      <c r="D266" s="77"/>
      <c r="E266" s="54"/>
      <c r="F266" s="77"/>
      <c r="G266" s="77"/>
      <c r="H266" s="78"/>
      <c r="I266" s="54"/>
      <c r="J266" s="39"/>
      <c r="K266" s="54"/>
      <c r="P266" s="22">
        <f t="shared" si="118"/>
        <v>0</v>
      </c>
      <c r="Q266" s="22" t="str">
        <f t="shared" si="120"/>
        <v>00</v>
      </c>
      <c r="R266" s="22">
        <f t="shared" si="119"/>
        <v>0</v>
      </c>
      <c r="S266" s="22" t="str">
        <f t="shared" si="121"/>
        <v>00</v>
      </c>
      <c r="T266" s="22">
        <f t="shared" si="117"/>
        <v>1900</v>
      </c>
      <c r="U266" s="22">
        <f t="shared" si="117"/>
        <v>1900</v>
      </c>
      <c r="W266" s="22" t="str">
        <f t="shared" si="122"/>
        <v>190000</v>
      </c>
      <c r="X266" s="22" t="str">
        <f t="shared" si="123"/>
        <v>190000</v>
      </c>
    </row>
    <row r="267" spans="2:24">
      <c r="B267" s="22"/>
      <c r="C267" s="22"/>
      <c r="D267" s="77"/>
      <c r="E267" s="54"/>
      <c r="F267" s="77"/>
      <c r="G267" s="77"/>
      <c r="H267" s="78"/>
      <c r="I267" s="54"/>
      <c r="J267" s="39"/>
      <c r="K267" s="54"/>
      <c r="P267" s="22">
        <f t="shared" si="118"/>
        <v>0</v>
      </c>
      <c r="Q267" s="22" t="str">
        <f t="shared" si="120"/>
        <v>00</v>
      </c>
      <c r="R267" s="22">
        <f t="shared" si="119"/>
        <v>0</v>
      </c>
      <c r="S267" s="22" t="str">
        <f t="shared" si="121"/>
        <v>00</v>
      </c>
      <c r="T267" s="22">
        <f t="shared" si="117"/>
        <v>1900</v>
      </c>
      <c r="U267" s="22">
        <f t="shared" si="117"/>
        <v>1900</v>
      </c>
      <c r="W267" s="22" t="str">
        <f t="shared" si="122"/>
        <v>190000</v>
      </c>
      <c r="X267" s="22" t="str">
        <f t="shared" si="123"/>
        <v>190000</v>
      </c>
    </row>
    <row r="268" spans="2:24">
      <c r="B268" s="22"/>
      <c r="C268" s="22"/>
      <c r="D268" s="77"/>
      <c r="E268" s="54"/>
      <c r="F268" s="77"/>
      <c r="G268" s="77"/>
      <c r="H268" s="78"/>
      <c r="I268" s="54"/>
      <c r="J268" s="39"/>
      <c r="K268" s="54"/>
      <c r="P268" s="22">
        <f t="shared" si="118"/>
        <v>0</v>
      </c>
      <c r="Q268" s="22" t="str">
        <f t="shared" si="120"/>
        <v>00</v>
      </c>
      <c r="R268" s="22">
        <f t="shared" si="119"/>
        <v>0</v>
      </c>
      <c r="S268" s="22" t="str">
        <f t="shared" si="121"/>
        <v>00</v>
      </c>
      <c r="T268" s="22">
        <f t="shared" si="117"/>
        <v>1900</v>
      </c>
      <c r="U268" s="22">
        <f t="shared" si="117"/>
        <v>1900</v>
      </c>
      <c r="W268" s="22" t="str">
        <f t="shared" si="122"/>
        <v>190000</v>
      </c>
      <c r="X268" s="22" t="str">
        <f t="shared" si="123"/>
        <v>190000</v>
      </c>
    </row>
    <row r="269" spans="2:24">
      <c r="B269" s="22"/>
      <c r="C269" s="22"/>
      <c r="D269" s="77"/>
      <c r="E269" s="54"/>
      <c r="F269" s="77"/>
      <c r="G269" s="77"/>
      <c r="H269" s="78"/>
      <c r="I269" s="54"/>
      <c r="J269" s="39"/>
      <c r="K269" s="54"/>
      <c r="P269" s="22">
        <f t="shared" si="118"/>
        <v>0</v>
      </c>
      <c r="Q269" s="22" t="str">
        <f t="shared" si="120"/>
        <v>00</v>
      </c>
      <c r="R269" s="22">
        <f t="shared" si="119"/>
        <v>0</v>
      </c>
      <c r="S269" s="22" t="str">
        <f t="shared" si="121"/>
        <v>00</v>
      </c>
      <c r="T269" s="22">
        <f t="shared" si="117"/>
        <v>1900</v>
      </c>
      <c r="U269" s="22">
        <f t="shared" si="117"/>
        <v>1900</v>
      </c>
      <c r="W269" s="22" t="str">
        <f t="shared" si="122"/>
        <v>190000</v>
      </c>
      <c r="X269" s="22" t="str">
        <f t="shared" si="123"/>
        <v>190000</v>
      </c>
    </row>
    <row r="270" spans="2:24">
      <c r="B270" s="22"/>
      <c r="C270" s="22"/>
      <c r="D270" s="77"/>
      <c r="E270" s="54"/>
      <c r="F270" s="77"/>
      <c r="G270" s="77"/>
      <c r="H270" s="78"/>
      <c r="I270" s="54"/>
      <c r="J270" s="39"/>
      <c r="K270" s="54"/>
      <c r="P270" s="22">
        <f t="shared" si="118"/>
        <v>0</v>
      </c>
      <c r="Q270" s="22" t="str">
        <f t="shared" si="120"/>
        <v>00</v>
      </c>
      <c r="R270" s="22">
        <f t="shared" si="119"/>
        <v>0</v>
      </c>
      <c r="S270" s="22" t="str">
        <f t="shared" si="121"/>
        <v>00</v>
      </c>
      <c r="T270" s="22">
        <f t="shared" si="117"/>
        <v>1900</v>
      </c>
      <c r="U270" s="22">
        <f t="shared" si="117"/>
        <v>1900</v>
      </c>
      <c r="W270" s="22" t="str">
        <f t="shared" si="122"/>
        <v>190000</v>
      </c>
      <c r="X270" s="22" t="str">
        <f t="shared" si="123"/>
        <v>190000</v>
      </c>
    </row>
    <row r="271" spans="2:24">
      <c r="B271" s="22"/>
      <c r="C271" s="22"/>
      <c r="D271" s="77"/>
      <c r="E271" s="54"/>
      <c r="F271" s="77"/>
      <c r="G271" s="77"/>
      <c r="H271" s="78"/>
      <c r="I271" s="54"/>
      <c r="J271" s="39"/>
      <c r="K271" s="54"/>
      <c r="P271" s="22">
        <f t="shared" si="118"/>
        <v>0</v>
      </c>
      <c r="Q271" s="22" t="str">
        <f t="shared" si="120"/>
        <v>00</v>
      </c>
      <c r="R271" s="22">
        <f t="shared" si="119"/>
        <v>0</v>
      </c>
      <c r="S271" s="22" t="str">
        <f t="shared" si="121"/>
        <v>00</v>
      </c>
      <c r="T271" s="22">
        <f t="shared" si="117"/>
        <v>1900</v>
      </c>
      <c r="U271" s="22">
        <f t="shared" si="117"/>
        <v>1900</v>
      </c>
      <c r="W271" s="22" t="str">
        <f t="shared" si="122"/>
        <v>190000</v>
      </c>
      <c r="X271" s="22" t="str">
        <f t="shared" si="123"/>
        <v>190000</v>
      </c>
    </row>
    <row r="272" spans="2:24">
      <c r="B272" s="22"/>
      <c r="C272" s="22"/>
      <c r="D272" s="77"/>
      <c r="E272" s="54"/>
      <c r="F272" s="77"/>
      <c r="G272" s="77"/>
      <c r="H272" s="78"/>
      <c r="I272" s="54"/>
      <c r="J272" s="39"/>
      <c r="K272" s="54"/>
      <c r="P272" s="22">
        <f t="shared" si="118"/>
        <v>0</v>
      </c>
      <c r="Q272" s="22" t="str">
        <f t="shared" si="120"/>
        <v>00</v>
      </c>
      <c r="R272" s="22">
        <f t="shared" si="119"/>
        <v>0</v>
      </c>
      <c r="S272" s="22" t="str">
        <f t="shared" si="121"/>
        <v>00</v>
      </c>
      <c r="T272" s="22">
        <f t="shared" si="117"/>
        <v>1900</v>
      </c>
      <c r="U272" s="22">
        <f t="shared" si="117"/>
        <v>1900</v>
      </c>
      <c r="W272" s="22" t="str">
        <f t="shared" si="122"/>
        <v>190000</v>
      </c>
      <c r="X272" s="22" t="str">
        <f t="shared" si="123"/>
        <v>190000</v>
      </c>
    </row>
    <row r="273" spans="2:24">
      <c r="B273" s="22"/>
      <c r="C273" s="22"/>
      <c r="D273" s="77"/>
      <c r="E273" s="54"/>
      <c r="F273" s="77"/>
      <c r="G273" s="77"/>
      <c r="H273" s="78"/>
      <c r="I273" s="54"/>
      <c r="J273" s="39"/>
      <c r="K273" s="54"/>
      <c r="P273" s="22">
        <f t="shared" si="118"/>
        <v>0</v>
      </c>
      <c r="Q273" s="22" t="str">
        <f t="shared" si="120"/>
        <v>00</v>
      </c>
      <c r="R273" s="22">
        <f t="shared" si="119"/>
        <v>0</v>
      </c>
      <c r="S273" s="22" t="str">
        <f t="shared" si="121"/>
        <v>00</v>
      </c>
      <c r="T273" s="22">
        <f t="shared" si="117"/>
        <v>1900</v>
      </c>
      <c r="U273" s="22">
        <f t="shared" si="117"/>
        <v>1900</v>
      </c>
      <c r="W273" s="22" t="str">
        <f t="shared" si="122"/>
        <v>190000</v>
      </c>
      <c r="X273" s="22" t="str">
        <f t="shared" si="123"/>
        <v>190000</v>
      </c>
    </row>
    <row r="274" spans="2:24">
      <c r="B274" s="22"/>
      <c r="C274" s="22"/>
      <c r="D274" s="77"/>
      <c r="E274" s="54"/>
      <c r="F274" s="77"/>
      <c r="G274" s="77"/>
      <c r="H274" s="78"/>
      <c r="I274" s="54"/>
      <c r="J274" s="39"/>
      <c r="K274" s="54"/>
      <c r="P274" s="22">
        <f t="shared" si="118"/>
        <v>0</v>
      </c>
      <c r="Q274" s="22" t="str">
        <f t="shared" si="120"/>
        <v>00</v>
      </c>
      <c r="R274" s="22">
        <f t="shared" si="119"/>
        <v>0</v>
      </c>
      <c r="S274" s="22" t="str">
        <f t="shared" si="121"/>
        <v>00</v>
      </c>
      <c r="T274" s="22">
        <f t="shared" si="117"/>
        <v>1900</v>
      </c>
      <c r="U274" s="22">
        <f t="shared" si="117"/>
        <v>1900</v>
      </c>
      <c r="W274" s="22" t="str">
        <f t="shared" si="122"/>
        <v>190000</v>
      </c>
      <c r="X274" s="22" t="str">
        <f t="shared" si="123"/>
        <v>190000</v>
      </c>
    </row>
    <row r="275" spans="2:24">
      <c r="B275" s="22"/>
      <c r="C275" s="22"/>
      <c r="D275" s="77"/>
      <c r="E275" s="54"/>
      <c r="F275" s="77"/>
      <c r="G275" s="77"/>
      <c r="H275" s="78"/>
      <c r="I275" s="54"/>
      <c r="J275" s="39"/>
      <c r="K275" s="54"/>
      <c r="P275" s="22">
        <f t="shared" si="118"/>
        <v>0</v>
      </c>
      <c r="Q275" s="22" t="str">
        <f t="shared" si="120"/>
        <v>00</v>
      </c>
      <c r="R275" s="22">
        <f t="shared" si="119"/>
        <v>0</v>
      </c>
      <c r="S275" s="22" t="str">
        <f t="shared" si="121"/>
        <v>00</v>
      </c>
      <c r="T275" s="22">
        <f t="shared" si="117"/>
        <v>1900</v>
      </c>
      <c r="U275" s="22">
        <f t="shared" si="117"/>
        <v>1900</v>
      </c>
      <c r="W275" s="22" t="str">
        <f t="shared" si="122"/>
        <v>190000</v>
      </c>
      <c r="X275" s="22" t="str">
        <f t="shared" si="123"/>
        <v>190000</v>
      </c>
    </row>
    <row r="276" spans="2:24">
      <c r="B276" s="22"/>
      <c r="C276" s="22"/>
      <c r="D276" s="77"/>
      <c r="E276" s="54"/>
      <c r="F276" s="77"/>
      <c r="G276" s="77"/>
      <c r="H276" s="78"/>
      <c r="I276" s="54"/>
      <c r="J276" s="39"/>
      <c r="K276" s="54"/>
      <c r="P276" s="22">
        <f t="shared" si="118"/>
        <v>0</v>
      </c>
      <c r="Q276" s="22" t="str">
        <f t="shared" si="120"/>
        <v>00</v>
      </c>
      <c r="R276" s="22">
        <f t="shared" si="119"/>
        <v>0</v>
      </c>
      <c r="S276" s="22" t="str">
        <f t="shared" si="121"/>
        <v>00</v>
      </c>
      <c r="T276" s="22">
        <f t="shared" ref="T276:U339" si="124">YEAR(F276)</f>
        <v>1900</v>
      </c>
      <c r="U276" s="22">
        <f t="shared" si="124"/>
        <v>1900</v>
      </c>
      <c r="W276" s="22" t="str">
        <f t="shared" si="122"/>
        <v>190000</v>
      </c>
      <c r="X276" s="22" t="str">
        <f t="shared" si="123"/>
        <v>190000</v>
      </c>
    </row>
    <row r="277" spans="2:24">
      <c r="B277" s="22"/>
      <c r="C277" s="22"/>
      <c r="D277" s="77"/>
      <c r="E277" s="54"/>
      <c r="F277" s="77"/>
      <c r="G277" s="77"/>
      <c r="H277" s="78"/>
      <c r="I277" s="54"/>
      <c r="J277" s="39"/>
      <c r="K277" s="54"/>
      <c r="P277" s="22">
        <f t="shared" si="118"/>
        <v>0</v>
      </c>
      <c r="Q277" s="22" t="str">
        <f t="shared" si="120"/>
        <v>00</v>
      </c>
      <c r="R277" s="22">
        <f t="shared" si="119"/>
        <v>0</v>
      </c>
      <c r="S277" s="22" t="str">
        <f t="shared" si="121"/>
        <v>00</v>
      </c>
      <c r="T277" s="22">
        <f t="shared" si="124"/>
        <v>1900</v>
      </c>
      <c r="U277" s="22">
        <f t="shared" si="124"/>
        <v>1900</v>
      </c>
      <c r="W277" s="22" t="str">
        <f t="shared" si="122"/>
        <v>190000</v>
      </c>
      <c r="X277" s="22" t="str">
        <f t="shared" si="123"/>
        <v>190000</v>
      </c>
    </row>
    <row r="278" spans="2:24">
      <c r="B278" s="22"/>
      <c r="C278" s="22"/>
      <c r="D278" s="77"/>
      <c r="E278" s="54"/>
      <c r="F278" s="77"/>
      <c r="G278" s="77"/>
      <c r="H278" s="78"/>
      <c r="I278" s="54"/>
      <c r="J278" s="39"/>
      <c r="K278" s="54"/>
      <c r="P278" s="22">
        <f t="shared" si="118"/>
        <v>0</v>
      </c>
      <c r="Q278" s="22" t="str">
        <f t="shared" si="120"/>
        <v>00</v>
      </c>
      <c r="R278" s="22">
        <f t="shared" si="119"/>
        <v>0</v>
      </c>
      <c r="S278" s="22" t="str">
        <f t="shared" si="121"/>
        <v>00</v>
      </c>
      <c r="T278" s="22">
        <f t="shared" si="124"/>
        <v>1900</v>
      </c>
      <c r="U278" s="22">
        <f t="shared" si="124"/>
        <v>1900</v>
      </c>
      <c r="W278" s="22" t="str">
        <f t="shared" si="122"/>
        <v>190000</v>
      </c>
      <c r="X278" s="22" t="str">
        <f t="shared" si="123"/>
        <v>190000</v>
      </c>
    </row>
    <row r="279" spans="2:24">
      <c r="B279" s="22"/>
      <c r="C279" s="22"/>
      <c r="D279" s="77"/>
      <c r="E279" s="54"/>
      <c r="F279" s="77"/>
      <c r="G279" s="77"/>
      <c r="H279" s="78"/>
      <c r="I279" s="54"/>
      <c r="J279" s="39"/>
      <c r="K279" s="54"/>
      <c r="P279" s="22">
        <f t="shared" si="118"/>
        <v>0</v>
      </c>
      <c r="Q279" s="22" t="str">
        <f t="shared" si="120"/>
        <v>00</v>
      </c>
      <c r="R279" s="22">
        <f t="shared" si="119"/>
        <v>0</v>
      </c>
      <c r="S279" s="22" t="str">
        <f t="shared" si="121"/>
        <v>00</v>
      </c>
      <c r="T279" s="22">
        <f t="shared" si="124"/>
        <v>1900</v>
      </c>
      <c r="U279" s="22">
        <f t="shared" si="124"/>
        <v>1900</v>
      </c>
      <c r="W279" s="22" t="str">
        <f t="shared" si="122"/>
        <v>190000</v>
      </c>
      <c r="X279" s="22" t="str">
        <f t="shared" si="123"/>
        <v>190000</v>
      </c>
    </row>
    <row r="280" spans="2:24">
      <c r="B280" s="22"/>
      <c r="C280" s="22"/>
      <c r="D280" s="77"/>
      <c r="E280" s="54"/>
      <c r="F280" s="77"/>
      <c r="G280" s="77"/>
      <c r="H280" s="78"/>
      <c r="I280" s="54"/>
      <c r="J280" s="39"/>
      <c r="K280" s="54"/>
      <c r="P280" s="22">
        <f t="shared" si="118"/>
        <v>0</v>
      </c>
      <c r="Q280" s="22" t="str">
        <f t="shared" si="120"/>
        <v>00</v>
      </c>
      <c r="R280" s="22">
        <f t="shared" si="119"/>
        <v>0</v>
      </c>
      <c r="S280" s="22" t="str">
        <f t="shared" si="121"/>
        <v>00</v>
      </c>
      <c r="T280" s="22">
        <f t="shared" si="124"/>
        <v>1900</v>
      </c>
      <c r="U280" s="22">
        <f t="shared" si="124"/>
        <v>1900</v>
      </c>
      <c r="W280" s="22" t="str">
        <f t="shared" si="122"/>
        <v>190000</v>
      </c>
      <c r="X280" s="22" t="str">
        <f t="shared" si="123"/>
        <v>190000</v>
      </c>
    </row>
    <row r="281" spans="2:24">
      <c r="B281" s="22"/>
      <c r="C281" s="22"/>
      <c r="D281" s="77"/>
      <c r="E281" s="54"/>
      <c r="F281" s="77"/>
      <c r="G281" s="77"/>
      <c r="H281" s="78"/>
      <c r="I281" s="54"/>
      <c r="J281" s="39"/>
      <c r="K281" s="54"/>
      <c r="P281" s="22">
        <f t="shared" si="118"/>
        <v>0</v>
      </c>
      <c r="Q281" s="22" t="str">
        <f t="shared" si="120"/>
        <v>00</v>
      </c>
      <c r="R281" s="22">
        <f t="shared" si="119"/>
        <v>0</v>
      </c>
      <c r="S281" s="22" t="str">
        <f t="shared" si="121"/>
        <v>00</v>
      </c>
      <c r="T281" s="22">
        <f t="shared" si="124"/>
        <v>1900</v>
      </c>
      <c r="U281" s="22">
        <f t="shared" si="124"/>
        <v>1900</v>
      </c>
      <c r="W281" s="22" t="str">
        <f t="shared" si="122"/>
        <v>190000</v>
      </c>
      <c r="X281" s="22" t="str">
        <f t="shared" si="123"/>
        <v>190000</v>
      </c>
    </row>
    <row r="282" spans="2:24">
      <c r="B282" s="22"/>
      <c r="C282" s="22"/>
      <c r="D282" s="77"/>
      <c r="E282" s="54"/>
      <c r="F282" s="77"/>
      <c r="G282" s="77"/>
      <c r="H282" s="78"/>
      <c r="I282" s="54"/>
      <c r="J282" s="39"/>
      <c r="K282" s="54"/>
      <c r="P282" s="22">
        <f t="shared" si="118"/>
        <v>0</v>
      </c>
      <c r="Q282" s="22" t="str">
        <f t="shared" si="120"/>
        <v>00</v>
      </c>
      <c r="R282" s="22">
        <f t="shared" si="119"/>
        <v>0</v>
      </c>
      <c r="S282" s="22" t="str">
        <f t="shared" si="121"/>
        <v>00</v>
      </c>
      <c r="T282" s="22">
        <f t="shared" si="124"/>
        <v>1900</v>
      </c>
      <c r="U282" s="22">
        <f t="shared" si="124"/>
        <v>1900</v>
      </c>
      <c r="W282" s="22" t="str">
        <f t="shared" si="122"/>
        <v>190000</v>
      </c>
      <c r="X282" s="22" t="str">
        <f t="shared" si="123"/>
        <v>190000</v>
      </c>
    </row>
    <row r="283" spans="2:24">
      <c r="B283" s="22"/>
      <c r="C283" s="22"/>
      <c r="D283" s="77"/>
      <c r="E283" s="54"/>
      <c r="F283" s="77"/>
      <c r="G283" s="77"/>
      <c r="H283" s="78"/>
      <c r="I283" s="54"/>
      <c r="J283" s="39"/>
      <c r="K283" s="54"/>
      <c r="P283" s="22">
        <f t="shared" si="118"/>
        <v>0</v>
      </c>
      <c r="Q283" s="22" t="str">
        <f t="shared" si="120"/>
        <v>00</v>
      </c>
      <c r="R283" s="22">
        <f t="shared" si="119"/>
        <v>0</v>
      </c>
      <c r="S283" s="22" t="str">
        <f t="shared" si="121"/>
        <v>00</v>
      </c>
      <c r="T283" s="22">
        <f t="shared" si="124"/>
        <v>1900</v>
      </c>
      <c r="U283" s="22">
        <f t="shared" si="124"/>
        <v>1900</v>
      </c>
      <c r="W283" s="22" t="str">
        <f t="shared" si="122"/>
        <v>190000</v>
      </c>
      <c r="X283" s="22" t="str">
        <f t="shared" si="123"/>
        <v>190000</v>
      </c>
    </row>
    <row r="284" spans="2:24">
      <c r="B284" s="22"/>
      <c r="C284" s="22"/>
      <c r="D284" s="77"/>
      <c r="E284" s="54"/>
      <c r="F284" s="77"/>
      <c r="G284" s="77"/>
      <c r="H284" s="78"/>
      <c r="I284" s="54"/>
      <c r="J284" s="39"/>
      <c r="K284" s="54"/>
      <c r="P284" s="22">
        <f t="shared" si="118"/>
        <v>0</v>
      </c>
      <c r="Q284" s="22" t="str">
        <f t="shared" si="120"/>
        <v>00</v>
      </c>
      <c r="R284" s="22">
        <f t="shared" si="119"/>
        <v>0</v>
      </c>
      <c r="S284" s="22" t="str">
        <f t="shared" si="121"/>
        <v>00</v>
      </c>
      <c r="T284" s="22">
        <f t="shared" si="124"/>
        <v>1900</v>
      </c>
      <c r="U284" s="22">
        <f t="shared" si="124"/>
        <v>1900</v>
      </c>
      <c r="W284" s="22" t="str">
        <f t="shared" si="122"/>
        <v>190000</v>
      </c>
      <c r="X284" s="22" t="str">
        <f t="shared" si="123"/>
        <v>190000</v>
      </c>
    </row>
    <row r="285" spans="2:24">
      <c r="B285" s="22"/>
      <c r="C285" s="22"/>
      <c r="D285" s="77"/>
      <c r="E285" s="54"/>
      <c r="F285" s="77"/>
      <c r="G285" s="77"/>
      <c r="H285" s="78"/>
      <c r="I285" s="54"/>
      <c r="J285" s="39"/>
      <c r="K285" s="54"/>
      <c r="P285" s="22">
        <f t="shared" si="118"/>
        <v>0</v>
      </c>
      <c r="Q285" s="22" t="str">
        <f t="shared" si="120"/>
        <v>00</v>
      </c>
      <c r="R285" s="22">
        <f t="shared" si="119"/>
        <v>0</v>
      </c>
      <c r="S285" s="22" t="str">
        <f t="shared" si="121"/>
        <v>00</v>
      </c>
      <c r="T285" s="22">
        <f t="shared" si="124"/>
        <v>1900</v>
      </c>
      <c r="U285" s="22">
        <f t="shared" si="124"/>
        <v>1900</v>
      </c>
      <c r="W285" s="22" t="str">
        <f t="shared" si="122"/>
        <v>190000</v>
      </c>
      <c r="X285" s="22" t="str">
        <f t="shared" si="123"/>
        <v>190000</v>
      </c>
    </row>
    <row r="286" spans="2:24">
      <c r="B286" s="22"/>
      <c r="C286" s="22"/>
      <c r="D286" s="77"/>
      <c r="E286" s="54"/>
      <c r="F286" s="77"/>
      <c r="G286" s="77"/>
      <c r="H286" s="78"/>
      <c r="I286" s="54"/>
      <c r="J286" s="39"/>
      <c r="K286" s="54"/>
      <c r="P286" s="22">
        <f t="shared" si="118"/>
        <v>0</v>
      </c>
      <c r="Q286" s="22" t="str">
        <f t="shared" si="120"/>
        <v>00</v>
      </c>
      <c r="R286" s="22">
        <f t="shared" si="119"/>
        <v>0</v>
      </c>
      <c r="S286" s="22" t="str">
        <f t="shared" si="121"/>
        <v>00</v>
      </c>
      <c r="T286" s="22">
        <f t="shared" si="124"/>
        <v>1900</v>
      </c>
      <c r="U286" s="22">
        <f t="shared" si="124"/>
        <v>1900</v>
      </c>
      <c r="W286" s="22" t="str">
        <f t="shared" si="122"/>
        <v>190000</v>
      </c>
      <c r="X286" s="22" t="str">
        <f t="shared" si="123"/>
        <v>190000</v>
      </c>
    </row>
    <row r="287" spans="2:24">
      <c r="B287" s="22"/>
      <c r="C287" s="22"/>
      <c r="D287" s="77"/>
      <c r="E287" s="54"/>
      <c r="F287" s="77"/>
      <c r="G287" s="77"/>
      <c r="H287" s="78"/>
      <c r="I287" s="54"/>
      <c r="J287" s="39"/>
      <c r="K287" s="54"/>
      <c r="P287" s="22">
        <f t="shared" si="118"/>
        <v>0</v>
      </c>
      <c r="Q287" s="22" t="str">
        <f t="shared" si="120"/>
        <v>00</v>
      </c>
      <c r="R287" s="22">
        <f t="shared" si="119"/>
        <v>0</v>
      </c>
      <c r="S287" s="22" t="str">
        <f t="shared" si="121"/>
        <v>00</v>
      </c>
      <c r="T287" s="22">
        <f t="shared" si="124"/>
        <v>1900</v>
      </c>
      <c r="U287" s="22">
        <f t="shared" si="124"/>
        <v>1900</v>
      </c>
      <c r="W287" s="22" t="str">
        <f t="shared" si="122"/>
        <v>190000</v>
      </c>
      <c r="X287" s="22" t="str">
        <f t="shared" si="123"/>
        <v>190000</v>
      </c>
    </row>
    <row r="288" spans="2:24">
      <c r="B288" s="22"/>
      <c r="C288" s="22"/>
      <c r="D288" s="77"/>
      <c r="E288" s="54"/>
      <c r="F288" s="77"/>
      <c r="G288" s="77"/>
      <c r="H288" s="78"/>
      <c r="I288" s="54"/>
      <c r="J288" s="39"/>
      <c r="K288" s="54"/>
      <c r="P288" s="22">
        <f t="shared" si="118"/>
        <v>0</v>
      </c>
      <c r="Q288" s="22" t="str">
        <f t="shared" si="120"/>
        <v>00</v>
      </c>
      <c r="R288" s="22">
        <f t="shared" si="119"/>
        <v>0</v>
      </c>
      <c r="S288" s="22" t="str">
        <f t="shared" si="121"/>
        <v>00</v>
      </c>
      <c r="T288" s="22">
        <f t="shared" si="124"/>
        <v>1900</v>
      </c>
      <c r="U288" s="22">
        <f t="shared" si="124"/>
        <v>1900</v>
      </c>
      <c r="W288" s="22" t="str">
        <f t="shared" si="122"/>
        <v>190000</v>
      </c>
      <c r="X288" s="22" t="str">
        <f t="shared" si="123"/>
        <v>190000</v>
      </c>
    </row>
    <row r="289" spans="2:24">
      <c r="B289" s="22"/>
      <c r="C289" s="22"/>
      <c r="D289" s="77"/>
      <c r="E289" s="54"/>
      <c r="F289" s="77"/>
      <c r="G289" s="77"/>
      <c r="H289" s="78"/>
      <c r="I289" s="54"/>
      <c r="J289" s="39"/>
      <c r="K289" s="54"/>
      <c r="P289" s="22">
        <f t="shared" si="118"/>
        <v>0</v>
      </c>
      <c r="Q289" s="22" t="str">
        <f t="shared" si="120"/>
        <v>00</v>
      </c>
      <c r="R289" s="22">
        <f t="shared" si="119"/>
        <v>0</v>
      </c>
      <c r="S289" s="22" t="str">
        <f t="shared" si="121"/>
        <v>00</v>
      </c>
      <c r="T289" s="22">
        <f t="shared" si="124"/>
        <v>1900</v>
      </c>
      <c r="U289" s="22">
        <f t="shared" si="124"/>
        <v>1900</v>
      </c>
      <c r="W289" s="22" t="str">
        <f t="shared" si="122"/>
        <v>190000</v>
      </c>
      <c r="X289" s="22" t="str">
        <f t="shared" si="123"/>
        <v>190000</v>
      </c>
    </row>
    <row r="290" spans="2:24">
      <c r="B290" s="22"/>
      <c r="C290" s="22"/>
      <c r="D290" s="77"/>
      <c r="E290" s="54"/>
      <c r="F290" s="77"/>
      <c r="G290" s="77"/>
      <c r="H290" s="78"/>
      <c r="I290" s="54"/>
      <c r="J290" s="39"/>
      <c r="K290" s="54"/>
      <c r="P290" s="22">
        <f t="shared" si="118"/>
        <v>0</v>
      </c>
      <c r="Q290" s="22" t="str">
        <f t="shared" si="120"/>
        <v>00</v>
      </c>
      <c r="R290" s="22">
        <f t="shared" si="119"/>
        <v>0</v>
      </c>
      <c r="S290" s="22" t="str">
        <f t="shared" si="121"/>
        <v>00</v>
      </c>
      <c r="T290" s="22">
        <f t="shared" si="124"/>
        <v>1900</v>
      </c>
      <c r="U290" s="22">
        <f t="shared" si="124"/>
        <v>1900</v>
      </c>
      <c r="W290" s="22" t="str">
        <f t="shared" si="122"/>
        <v>190000</v>
      </c>
      <c r="X290" s="22" t="str">
        <f t="shared" si="123"/>
        <v>190000</v>
      </c>
    </row>
    <row r="291" spans="2:24">
      <c r="B291" s="22"/>
      <c r="C291" s="22"/>
      <c r="D291" s="77"/>
      <c r="E291" s="54"/>
      <c r="F291" s="77"/>
      <c r="G291" s="77"/>
      <c r="H291" s="78"/>
      <c r="I291" s="54"/>
      <c r="J291" s="39"/>
      <c r="K291" s="54"/>
      <c r="P291" s="22">
        <f t="shared" si="118"/>
        <v>0</v>
      </c>
      <c r="Q291" s="22" t="str">
        <f t="shared" si="120"/>
        <v>00</v>
      </c>
      <c r="R291" s="22">
        <f t="shared" si="119"/>
        <v>0</v>
      </c>
      <c r="S291" s="22" t="str">
        <f t="shared" si="121"/>
        <v>00</v>
      </c>
      <c r="T291" s="22">
        <f t="shared" si="124"/>
        <v>1900</v>
      </c>
      <c r="U291" s="22">
        <f t="shared" si="124"/>
        <v>1900</v>
      </c>
      <c r="W291" s="22" t="str">
        <f t="shared" si="122"/>
        <v>190000</v>
      </c>
      <c r="X291" s="22" t="str">
        <f t="shared" si="123"/>
        <v>190000</v>
      </c>
    </row>
    <row r="292" spans="2:24">
      <c r="B292" s="22"/>
      <c r="C292" s="22"/>
      <c r="D292" s="77"/>
      <c r="E292" s="54"/>
      <c r="F292" s="77"/>
      <c r="G292" s="77"/>
      <c r="H292" s="78"/>
      <c r="I292" s="54"/>
      <c r="J292" s="39"/>
      <c r="K292" s="54"/>
      <c r="P292" s="22">
        <f t="shared" si="118"/>
        <v>0</v>
      </c>
      <c r="Q292" s="22" t="str">
        <f t="shared" si="120"/>
        <v>00</v>
      </c>
      <c r="R292" s="22">
        <f t="shared" si="119"/>
        <v>0</v>
      </c>
      <c r="S292" s="22" t="str">
        <f t="shared" si="121"/>
        <v>00</v>
      </c>
      <c r="T292" s="22">
        <f t="shared" si="124"/>
        <v>1900</v>
      </c>
      <c r="U292" s="22">
        <f t="shared" si="124"/>
        <v>1900</v>
      </c>
      <c r="W292" s="22" t="str">
        <f t="shared" si="122"/>
        <v>190000</v>
      </c>
      <c r="X292" s="22" t="str">
        <f t="shared" si="123"/>
        <v>190000</v>
      </c>
    </row>
    <row r="293" spans="2:24">
      <c r="B293" s="22"/>
      <c r="C293" s="22"/>
      <c r="D293" s="77"/>
      <c r="E293" s="54"/>
      <c r="F293" s="77"/>
      <c r="G293" s="77"/>
      <c r="H293" s="78"/>
      <c r="I293" s="54"/>
      <c r="J293" s="39"/>
      <c r="K293" s="54"/>
      <c r="P293" s="22">
        <f t="shared" si="118"/>
        <v>0</v>
      </c>
      <c r="Q293" s="22" t="str">
        <f t="shared" si="120"/>
        <v>00</v>
      </c>
      <c r="R293" s="22">
        <f t="shared" si="119"/>
        <v>0</v>
      </c>
      <c r="S293" s="22" t="str">
        <f t="shared" si="121"/>
        <v>00</v>
      </c>
      <c r="T293" s="22">
        <f t="shared" si="124"/>
        <v>1900</v>
      </c>
      <c r="U293" s="22">
        <f t="shared" si="124"/>
        <v>1900</v>
      </c>
      <c r="W293" s="22" t="str">
        <f t="shared" si="122"/>
        <v>190000</v>
      </c>
      <c r="X293" s="22" t="str">
        <f t="shared" si="123"/>
        <v>190000</v>
      </c>
    </row>
    <row r="294" spans="2:24">
      <c r="B294" s="22"/>
      <c r="C294" s="22"/>
      <c r="D294" s="77"/>
      <c r="E294" s="54"/>
      <c r="F294" s="77"/>
      <c r="G294" s="77"/>
      <c r="H294" s="78"/>
      <c r="I294" s="54"/>
      <c r="J294" s="39"/>
      <c r="K294" s="54"/>
      <c r="P294" s="22">
        <f t="shared" si="118"/>
        <v>0</v>
      </c>
      <c r="Q294" s="22" t="str">
        <f t="shared" si="120"/>
        <v>00</v>
      </c>
      <c r="R294" s="22">
        <f t="shared" si="119"/>
        <v>0</v>
      </c>
      <c r="S294" s="22" t="str">
        <f t="shared" si="121"/>
        <v>00</v>
      </c>
      <c r="T294" s="22">
        <f t="shared" si="124"/>
        <v>1900</v>
      </c>
      <c r="U294" s="22">
        <f t="shared" si="124"/>
        <v>1900</v>
      </c>
      <c r="W294" s="22" t="str">
        <f t="shared" si="122"/>
        <v>190000</v>
      </c>
      <c r="X294" s="22" t="str">
        <f t="shared" si="123"/>
        <v>190000</v>
      </c>
    </row>
    <row r="295" spans="2:24">
      <c r="B295" s="22"/>
      <c r="C295" s="22"/>
      <c r="D295" s="77"/>
      <c r="E295" s="54"/>
      <c r="F295" s="77"/>
      <c r="G295" s="77"/>
      <c r="H295" s="78"/>
      <c r="I295" s="54"/>
      <c r="J295" s="39"/>
      <c r="K295" s="54"/>
      <c r="P295" s="22">
        <f t="shared" si="118"/>
        <v>0</v>
      </c>
      <c r="Q295" s="22" t="str">
        <f t="shared" si="120"/>
        <v>00</v>
      </c>
      <c r="R295" s="22">
        <f t="shared" si="119"/>
        <v>0</v>
      </c>
      <c r="S295" s="22" t="str">
        <f t="shared" si="121"/>
        <v>00</v>
      </c>
      <c r="T295" s="22">
        <f t="shared" si="124"/>
        <v>1900</v>
      </c>
      <c r="U295" s="22">
        <f t="shared" si="124"/>
        <v>1900</v>
      </c>
      <c r="W295" s="22" t="str">
        <f t="shared" si="122"/>
        <v>190000</v>
      </c>
      <c r="X295" s="22" t="str">
        <f t="shared" si="123"/>
        <v>190000</v>
      </c>
    </row>
    <row r="296" spans="2:24">
      <c r="B296" s="22"/>
      <c r="C296" s="22"/>
      <c r="D296" s="77"/>
      <c r="E296" s="54"/>
      <c r="F296" s="77"/>
      <c r="G296" s="77"/>
      <c r="H296" s="78"/>
      <c r="I296" s="54"/>
      <c r="J296" s="39"/>
      <c r="K296" s="54"/>
      <c r="P296" s="22">
        <f t="shared" si="118"/>
        <v>0</v>
      </c>
      <c r="Q296" s="22" t="str">
        <f t="shared" si="120"/>
        <v>00</v>
      </c>
      <c r="R296" s="22">
        <f t="shared" si="119"/>
        <v>0</v>
      </c>
      <c r="S296" s="22" t="str">
        <f t="shared" si="121"/>
        <v>00</v>
      </c>
      <c r="T296" s="22">
        <f t="shared" si="124"/>
        <v>1900</v>
      </c>
      <c r="U296" s="22">
        <f t="shared" si="124"/>
        <v>1900</v>
      </c>
      <c r="W296" s="22" t="str">
        <f t="shared" si="122"/>
        <v>190000</v>
      </c>
      <c r="X296" s="22" t="str">
        <f t="shared" si="123"/>
        <v>190000</v>
      </c>
    </row>
    <row r="297" spans="2:24">
      <c r="B297" s="22"/>
      <c r="C297" s="22"/>
      <c r="D297" s="77"/>
      <c r="E297" s="54"/>
      <c r="F297" s="77"/>
      <c r="G297" s="77"/>
      <c r="H297" s="78"/>
      <c r="I297" s="54"/>
      <c r="J297" s="39"/>
      <c r="K297" s="54"/>
      <c r="P297" s="22">
        <f t="shared" si="118"/>
        <v>0</v>
      </c>
      <c r="Q297" s="22" t="str">
        <f t="shared" si="120"/>
        <v>00</v>
      </c>
      <c r="R297" s="22">
        <f t="shared" si="119"/>
        <v>0</v>
      </c>
      <c r="S297" s="22" t="str">
        <f t="shared" si="121"/>
        <v>00</v>
      </c>
      <c r="T297" s="22">
        <f t="shared" si="124"/>
        <v>1900</v>
      </c>
      <c r="U297" s="22">
        <f t="shared" si="124"/>
        <v>1900</v>
      </c>
      <c r="W297" s="22" t="str">
        <f t="shared" si="122"/>
        <v>190000</v>
      </c>
      <c r="X297" s="22" t="str">
        <f t="shared" si="123"/>
        <v>190000</v>
      </c>
    </row>
    <row r="298" spans="2:24">
      <c r="B298" s="22"/>
      <c r="C298" s="22"/>
      <c r="D298" s="77"/>
      <c r="E298" s="54"/>
      <c r="F298" s="77"/>
      <c r="G298" s="77"/>
      <c r="H298" s="78"/>
      <c r="I298" s="54"/>
      <c r="J298" s="39"/>
      <c r="K298" s="54"/>
      <c r="P298" s="22">
        <f t="shared" si="118"/>
        <v>0</v>
      </c>
      <c r="Q298" s="22" t="str">
        <f t="shared" si="120"/>
        <v>00</v>
      </c>
      <c r="R298" s="22">
        <f t="shared" si="119"/>
        <v>0</v>
      </c>
      <c r="S298" s="22" t="str">
        <f t="shared" si="121"/>
        <v>00</v>
      </c>
      <c r="T298" s="22">
        <f t="shared" si="124"/>
        <v>1900</v>
      </c>
      <c r="U298" s="22">
        <f t="shared" si="124"/>
        <v>1900</v>
      </c>
      <c r="W298" s="22" t="str">
        <f t="shared" si="122"/>
        <v>190000</v>
      </c>
      <c r="X298" s="22" t="str">
        <f t="shared" si="123"/>
        <v>190000</v>
      </c>
    </row>
    <row r="299" spans="2:24">
      <c r="B299" s="22"/>
      <c r="C299" s="22"/>
      <c r="D299" s="77"/>
      <c r="E299" s="54"/>
      <c r="F299" s="77"/>
      <c r="G299" s="77"/>
      <c r="H299" s="78"/>
      <c r="I299" s="54"/>
      <c r="J299" s="39"/>
      <c r="K299" s="54"/>
      <c r="P299" s="22">
        <f t="shared" si="118"/>
        <v>0</v>
      </c>
      <c r="Q299" s="22" t="str">
        <f t="shared" si="120"/>
        <v>00</v>
      </c>
      <c r="R299" s="22">
        <f t="shared" si="119"/>
        <v>0</v>
      </c>
      <c r="S299" s="22" t="str">
        <f t="shared" si="121"/>
        <v>00</v>
      </c>
      <c r="T299" s="22">
        <f t="shared" si="124"/>
        <v>1900</v>
      </c>
      <c r="U299" s="22">
        <f t="shared" si="124"/>
        <v>1900</v>
      </c>
      <c r="W299" s="22" t="str">
        <f t="shared" si="122"/>
        <v>190000</v>
      </c>
      <c r="X299" s="22" t="str">
        <f t="shared" si="123"/>
        <v>190000</v>
      </c>
    </row>
    <row r="300" spans="2:24">
      <c r="B300" s="22"/>
      <c r="C300" s="22"/>
      <c r="D300" s="77"/>
      <c r="E300" s="54"/>
      <c r="F300" s="77"/>
      <c r="G300" s="77"/>
      <c r="H300" s="78"/>
      <c r="I300" s="54"/>
      <c r="J300" s="39"/>
      <c r="K300" s="54"/>
      <c r="P300" s="22">
        <f t="shared" si="118"/>
        <v>0</v>
      </c>
      <c r="Q300" s="22" t="str">
        <f t="shared" si="120"/>
        <v>00</v>
      </c>
      <c r="R300" s="22">
        <f t="shared" si="119"/>
        <v>0</v>
      </c>
      <c r="S300" s="22" t="str">
        <f t="shared" si="121"/>
        <v>00</v>
      </c>
      <c r="T300" s="22">
        <f t="shared" si="124"/>
        <v>1900</v>
      </c>
      <c r="U300" s="22">
        <f t="shared" si="124"/>
        <v>1900</v>
      </c>
      <c r="W300" s="22" t="str">
        <f t="shared" si="122"/>
        <v>190000</v>
      </c>
      <c r="X300" s="22" t="str">
        <f t="shared" si="123"/>
        <v>190000</v>
      </c>
    </row>
    <row r="301" spans="2:24">
      <c r="B301" s="22"/>
      <c r="C301" s="22"/>
      <c r="D301" s="77"/>
      <c r="E301" s="54"/>
      <c r="F301" s="77"/>
      <c r="G301" s="77"/>
      <c r="H301" s="78"/>
      <c r="I301" s="54"/>
      <c r="J301" s="39"/>
      <c r="K301" s="54"/>
      <c r="P301" s="22">
        <f t="shared" si="118"/>
        <v>0</v>
      </c>
      <c r="Q301" s="22" t="str">
        <f t="shared" si="120"/>
        <v>00</v>
      </c>
      <c r="R301" s="22">
        <f t="shared" si="119"/>
        <v>0</v>
      </c>
      <c r="S301" s="22" t="str">
        <f t="shared" si="121"/>
        <v>00</v>
      </c>
      <c r="T301" s="22">
        <f t="shared" si="124"/>
        <v>1900</v>
      </c>
      <c r="U301" s="22">
        <f t="shared" si="124"/>
        <v>1900</v>
      </c>
      <c r="W301" s="22" t="str">
        <f t="shared" si="122"/>
        <v>190000</v>
      </c>
      <c r="X301" s="22" t="str">
        <f t="shared" si="123"/>
        <v>190000</v>
      </c>
    </row>
    <row r="302" spans="2:24">
      <c r="B302" s="22"/>
      <c r="C302" s="22"/>
      <c r="D302" s="77"/>
      <c r="E302" s="54"/>
      <c r="F302" s="77"/>
      <c r="G302" s="77"/>
      <c r="H302" s="78"/>
      <c r="I302" s="54"/>
      <c r="J302" s="39"/>
      <c r="K302" s="54"/>
      <c r="P302" s="22">
        <f t="shared" si="118"/>
        <v>0</v>
      </c>
      <c r="Q302" s="22" t="str">
        <f t="shared" si="120"/>
        <v>00</v>
      </c>
      <c r="R302" s="22">
        <f t="shared" si="119"/>
        <v>0</v>
      </c>
      <c r="S302" s="22" t="str">
        <f t="shared" si="121"/>
        <v>00</v>
      </c>
      <c r="T302" s="22">
        <f t="shared" si="124"/>
        <v>1900</v>
      </c>
      <c r="U302" s="22">
        <f t="shared" si="124"/>
        <v>1900</v>
      </c>
      <c r="W302" s="22" t="str">
        <f t="shared" si="122"/>
        <v>190000</v>
      </c>
      <c r="X302" s="22" t="str">
        <f t="shared" si="123"/>
        <v>190000</v>
      </c>
    </row>
    <row r="303" spans="2:24">
      <c r="B303" s="22"/>
      <c r="C303" s="22"/>
      <c r="D303" s="77"/>
      <c r="E303" s="54"/>
      <c r="F303" s="77"/>
      <c r="G303" s="77"/>
      <c r="H303" s="78"/>
      <c r="I303" s="54"/>
      <c r="J303" s="39"/>
      <c r="K303" s="54"/>
      <c r="P303" s="22">
        <f t="shared" si="118"/>
        <v>0</v>
      </c>
      <c r="Q303" s="22" t="str">
        <f t="shared" si="120"/>
        <v>00</v>
      </c>
      <c r="R303" s="22">
        <f t="shared" si="119"/>
        <v>0</v>
      </c>
      <c r="S303" s="22" t="str">
        <f t="shared" si="121"/>
        <v>00</v>
      </c>
      <c r="T303" s="22">
        <f t="shared" si="124"/>
        <v>1900</v>
      </c>
      <c r="U303" s="22">
        <f t="shared" si="124"/>
        <v>1900</v>
      </c>
      <c r="W303" s="22" t="str">
        <f t="shared" si="122"/>
        <v>190000</v>
      </c>
      <c r="X303" s="22" t="str">
        <f t="shared" si="123"/>
        <v>190000</v>
      </c>
    </row>
    <row r="304" spans="2:24">
      <c r="B304" s="22"/>
      <c r="C304" s="22"/>
      <c r="D304" s="77"/>
      <c r="E304" s="54"/>
      <c r="F304" s="77"/>
      <c r="G304" s="77"/>
      <c r="H304" s="78"/>
      <c r="I304" s="54"/>
      <c r="J304" s="39"/>
      <c r="K304" s="54"/>
      <c r="P304" s="22">
        <f t="shared" si="118"/>
        <v>0</v>
      </c>
      <c r="Q304" s="22" t="str">
        <f t="shared" si="120"/>
        <v>00</v>
      </c>
      <c r="R304" s="22">
        <f t="shared" si="119"/>
        <v>0</v>
      </c>
      <c r="S304" s="22" t="str">
        <f t="shared" si="121"/>
        <v>00</v>
      </c>
      <c r="T304" s="22">
        <f t="shared" si="124"/>
        <v>1900</v>
      </c>
      <c r="U304" s="22">
        <f t="shared" si="124"/>
        <v>1900</v>
      </c>
      <c r="W304" s="22" t="str">
        <f t="shared" si="122"/>
        <v>190000</v>
      </c>
      <c r="X304" s="22" t="str">
        <f t="shared" si="123"/>
        <v>190000</v>
      </c>
    </row>
    <row r="305" spans="2:24">
      <c r="B305" s="22"/>
      <c r="C305" s="22"/>
      <c r="D305" s="77"/>
      <c r="E305" s="54"/>
      <c r="F305" s="77"/>
      <c r="G305" s="77"/>
      <c r="H305" s="78"/>
      <c r="I305" s="54"/>
      <c r="J305" s="39"/>
      <c r="K305" s="54"/>
      <c r="P305" s="22">
        <f t="shared" si="118"/>
        <v>0</v>
      </c>
      <c r="Q305" s="22" t="str">
        <f t="shared" si="120"/>
        <v>00</v>
      </c>
      <c r="R305" s="22">
        <f t="shared" si="119"/>
        <v>0</v>
      </c>
      <c r="S305" s="22" t="str">
        <f t="shared" si="121"/>
        <v>00</v>
      </c>
      <c r="T305" s="22">
        <f t="shared" si="124"/>
        <v>1900</v>
      </c>
      <c r="U305" s="22">
        <f t="shared" si="124"/>
        <v>1900</v>
      </c>
      <c r="W305" s="22" t="str">
        <f t="shared" si="122"/>
        <v>190000</v>
      </c>
      <c r="X305" s="22" t="str">
        <f t="shared" si="123"/>
        <v>190000</v>
      </c>
    </row>
    <row r="306" spans="2:24">
      <c r="B306" s="22"/>
      <c r="C306" s="22"/>
      <c r="D306" s="77"/>
      <c r="E306" s="54"/>
      <c r="F306" s="77"/>
      <c r="G306" s="77"/>
      <c r="H306" s="78"/>
      <c r="I306" s="54"/>
      <c r="J306" s="39"/>
      <c r="K306" s="54"/>
      <c r="P306" s="22">
        <f t="shared" si="118"/>
        <v>0</v>
      </c>
      <c r="Q306" s="22" t="str">
        <f t="shared" si="120"/>
        <v>00</v>
      </c>
      <c r="R306" s="22">
        <f t="shared" si="119"/>
        <v>0</v>
      </c>
      <c r="S306" s="22" t="str">
        <f t="shared" si="121"/>
        <v>00</v>
      </c>
      <c r="T306" s="22">
        <f t="shared" si="124"/>
        <v>1900</v>
      </c>
      <c r="U306" s="22">
        <f t="shared" si="124"/>
        <v>1900</v>
      </c>
      <c r="W306" s="22" t="str">
        <f t="shared" si="122"/>
        <v>190000</v>
      </c>
      <c r="X306" s="22" t="str">
        <f t="shared" si="123"/>
        <v>190000</v>
      </c>
    </row>
    <row r="307" spans="2:24">
      <c r="B307" s="22"/>
      <c r="C307" s="22"/>
      <c r="D307" s="77"/>
      <c r="E307" s="54"/>
      <c r="F307" s="77"/>
      <c r="G307" s="77"/>
      <c r="H307" s="78"/>
      <c r="I307" s="54"/>
      <c r="J307" s="39"/>
      <c r="K307" s="54"/>
      <c r="P307" s="22">
        <f t="shared" si="118"/>
        <v>0</v>
      </c>
      <c r="Q307" s="22" t="str">
        <f t="shared" si="120"/>
        <v>00</v>
      </c>
      <c r="R307" s="22">
        <f t="shared" si="119"/>
        <v>0</v>
      </c>
      <c r="S307" s="22" t="str">
        <f t="shared" si="121"/>
        <v>00</v>
      </c>
      <c r="T307" s="22">
        <f t="shared" si="124"/>
        <v>1900</v>
      </c>
      <c r="U307" s="22">
        <f t="shared" si="124"/>
        <v>1900</v>
      </c>
      <c r="W307" s="22" t="str">
        <f t="shared" si="122"/>
        <v>190000</v>
      </c>
      <c r="X307" s="22" t="str">
        <f t="shared" si="123"/>
        <v>190000</v>
      </c>
    </row>
    <row r="308" spans="2:24">
      <c r="B308" s="22"/>
      <c r="C308" s="22"/>
      <c r="D308" s="77"/>
      <c r="E308" s="54"/>
      <c r="F308" s="77"/>
      <c r="G308" s="77"/>
      <c r="H308" s="78"/>
      <c r="I308" s="54"/>
      <c r="J308" s="39"/>
      <c r="K308" s="54"/>
      <c r="P308" s="22">
        <f t="shared" si="118"/>
        <v>0</v>
      </c>
      <c r="Q308" s="22" t="str">
        <f t="shared" si="120"/>
        <v>00</v>
      </c>
      <c r="R308" s="22">
        <f t="shared" si="119"/>
        <v>0</v>
      </c>
      <c r="S308" s="22" t="str">
        <f t="shared" si="121"/>
        <v>00</v>
      </c>
      <c r="T308" s="22">
        <f t="shared" si="124"/>
        <v>1900</v>
      </c>
      <c r="U308" s="22">
        <f t="shared" si="124"/>
        <v>1900</v>
      </c>
      <c r="W308" s="22" t="str">
        <f t="shared" si="122"/>
        <v>190000</v>
      </c>
      <c r="X308" s="22" t="str">
        <f t="shared" si="123"/>
        <v>190000</v>
      </c>
    </row>
    <row r="309" spans="2:24">
      <c r="B309" s="22"/>
      <c r="C309" s="22"/>
      <c r="D309" s="77"/>
      <c r="E309" s="54"/>
      <c r="F309" s="77"/>
      <c r="G309" s="77"/>
      <c r="H309" s="78"/>
      <c r="I309" s="54"/>
      <c r="J309" s="39"/>
      <c r="K309" s="54"/>
      <c r="P309" s="22">
        <f t="shared" si="118"/>
        <v>0</v>
      </c>
      <c r="Q309" s="22" t="str">
        <f t="shared" si="120"/>
        <v>00</v>
      </c>
      <c r="R309" s="22">
        <f t="shared" si="119"/>
        <v>0</v>
      </c>
      <c r="S309" s="22" t="str">
        <f t="shared" si="121"/>
        <v>00</v>
      </c>
      <c r="T309" s="22">
        <f t="shared" si="124"/>
        <v>1900</v>
      </c>
      <c r="U309" s="22">
        <f t="shared" si="124"/>
        <v>1900</v>
      </c>
      <c r="W309" s="22" t="str">
        <f t="shared" si="122"/>
        <v>190000</v>
      </c>
      <c r="X309" s="22" t="str">
        <f t="shared" si="123"/>
        <v>190000</v>
      </c>
    </row>
    <row r="310" spans="2:24">
      <c r="B310" s="22"/>
      <c r="C310" s="22"/>
      <c r="D310" s="77"/>
      <c r="E310" s="54"/>
      <c r="F310" s="77"/>
      <c r="G310" s="77"/>
      <c r="H310" s="78"/>
      <c r="I310" s="54"/>
      <c r="J310" s="39"/>
      <c r="K310" s="54"/>
      <c r="P310" s="22">
        <f t="shared" si="118"/>
        <v>0</v>
      </c>
      <c r="Q310" s="22" t="str">
        <f t="shared" si="120"/>
        <v>00</v>
      </c>
      <c r="R310" s="22">
        <f t="shared" si="119"/>
        <v>0</v>
      </c>
      <c r="S310" s="22" t="str">
        <f t="shared" si="121"/>
        <v>00</v>
      </c>
      <c r="T310" s="22">
        <f t="shared" si="124"/>
        <v>1900</v>
      </c>
      <c r="U310" s="22">
        <f t="shared" si="124"/>
        <v>1900</v>
      </c>
      <c r="W310" s="22" t="str">
        <f t="shared" si="122"/>
        <v>190000</v>
      </c>
      <c r="X310" s="22" t="str">
        <f t="shared" si="123"/>
        <v>190000</v>
      </c>
    </row>
    <row r="311" spans="2:24">
      <c r="B311" s="22"/>
      <c r="C311" s="22"/>
      <c r="D311" s="77"/>
      <c r="E311" s="54"/>
      <c r="F311" s="77"/>
      <c r="G311" s="77"/>
      <c r="H311" s="78"/>
      <c r="I311" s="54"/>
      <c r="J311" s="39"/>
      <c r="K311" s="54"/>
      <c r="P311" s="22">
        <f t="shared" si="118"/>
        <v>0</v>
      </c>
      <c r="Q311" s="22" t="str">
        <f t="shared" si="120"/>
        <v>00</v>
      </c>
      <c r="R311" s="22">
        <f t="shared" si="119"/>
        <v>0</v>
      </c>
      <c r="S311" s="22" t="str">
        <f t="shared" si="121"/>
        <v>00</v>
      </c>
      <c r="T311" s="22">
        <f t="shared" si="124"/>
        <v>1900</v>
      </c>
      <c r="U311" s="22">
        <f t="shared" si="124"/>
        <v>1900</v>
      </c>
      <c r="W311" s="22" t="str">
        <f t="shared" si="122"/>
        <v>190000</v>
      </c>
      <c r="X311" s="22" t="str">
        <f t="shared" si="123"/>
        <v>190000</v>
      </c>
    </row>
    <row r="312" spans="2:24">
      <c r="B312" s="22"/>
      <c r="C312" s="22"/>
      <c r="D312" s="77"/>
      <c r="E312" s="54"/>
      <c r="F312" s="77"/>
      <c r="G312" s="77"/>
      <c r="H312" s="78"/>
      <c r="I312" s="54"/>
      <c r="J312" s="39"/>
      <c r="K312" s="54"/>
      <c r="P312" s="22">
        <f t="shared" si="118"/>
        <v>0</v>
      </c>
      <c r="Q312" s="22" t="str">
        <f t="shared" si="120"/>
        <v>00</v>
      </c>
      <c r="R312" s="22">
        <f t="shared" si="119"/>
        <v>0</v>
      </c>
      <c r="S312" s="22" t="str">
        <f t="shared" si="121"/>
        <v>00</v>
      </c>
      <c r="T312" s="22">
        <f t="shared" si="124"/>
        <v>1900</v>
      </c>
      <c r="U312" s="22">
        <f t="shared" si="124"/>
        <v>1900</v>
      </c>
      <c r="W312" s="22" t="str">
        <f t="shared" si="122"/>
        <v>190000</v>
      </c>
      <c r="X312" s="22" t="str">
        <f t="shared" si="123"/>
        <v>190000</v>
      </c>
    </row>
    <row r="313" spans="2:24">
      <c r="B313" s="22"/>
      <c r="C313" s="22"/>
      <c r="D313" s="77"/>
      <c r="E313" s="54"/>
      <c r="F313" s="77"/>
      <c r="G313" s="77"/>
      <c r="H313" s="78"/>
      <c r="I313" s="54"/>
      <c r="J313" s="39"/>
      <c r="K313" s="54"/>
      <c r="P313" s="22">
        <f t="shared" si="118"/>
        <v>0</v>
      </c>
      <c r="Q313" s="22" t="str">
        <f t="shared" si="120"/>
        <v>00</v>
      </c>
      <c r="R313" s="22">
        <f t="shared" si="119"/>
        <v>0</v>
      </c>
      <c r="S313" s="22" t="str">
        <f t="shared" si="121"/>
        <v>00</v>
      </c>
      <c r="T313" s="22">
        <f t="shared" si="124"/>
        <v>1900</v>
      </c>
      <c r="U313" s="22">
        <f t="shared" si="124"/>
        <v>1900</v>
      </c>
      <c r="W313" s="22" t="str">
        <f t="shared" si="122"/>
        <v>190000</v>
      </c>
      <c r="X313" s="22" t="str">
        <f t="shared" si="123"/>
        <v>190000</v>
      </c>
    </row>
    <row r="314" spans="2:24">
      <c r="B314" s="22"/>
      <c r="C314" s="22"/>
      <c r="D314" s="77"/>
      <c r="E314" s="54"/>
      <c r="F314" s="77"/>
      <c r="G314" s="77"/>
      <c r="H314" s="78"/>
      <c r="I314" s="54"/>
      <c r="J314" s="39"/>
      <c r="K314" s="54"/>
      <c r="P314" s="22">
        <f t="shared" si="118"/>
        <v>0</v>
      </c>
      <c r="Q314" s="22" t="str">
        <f t="shared" si="120"/>
        <v>00</v>
      </c>
      <c r="R314" s="22">
        <f t="shared" si="119"/>
        <v>0</v>
      </c>
      <c r="S314" s="22" t="str">
        <f t="shared" si="121"/>
        <v>00</v>
      </c>
      <c r="T314" s="22">
        <f t="shared" si="124"/>
        <v>1900</v>
      </c>
      <c r="U314" s="22">
        <f t="shared" si="124"/>
        <v>1900</v>
      </c>
      <c r="W314" s="22" t="str">
        <f t="shared" si="122"/>
        <v>190000</v>
      </c>
      <c r="X314" s="22" t="str">
        <f t="shared" si="123"/>
        <v>190000</v>
      </c>
    </row>
    <row r="315" spans="2:24">
      <c r="B315" s="22"/>
      <c r="C315" s="22"/>
      <c r="D315" s="77"/>
      <c r="E315" s="54"/>
      <c r="F315" s="77"/>
      <c r="G315" s="77"/>
      <c r="H315" s="78"/>
      <c r="I315" s="54"/>
      <c r="J315" s="39"/>
      <c r="K315" s="54"/>
      <c r="P315" s="22">
        <f t="shared" si="118"/>
        <v>0</v>
      </c>
      <c r="Q315" s="22" t="str">
        <f t="shared" si="120"/>
        <v>00</v>
      </c>
      <c r="R315" s="22">
        <f t="shared" si="119"/>
        <v>0</v>
      </c>
      <c r="S315" s="22" t="str">
        <f t="shared" si="121"/>
        <v>00</v>
      </c>
      <c r="T315" s="22">
        <f t="shared" si="124"/>
        <v>1900</v>
      </c>
      <c r="U315" s="22">
        <f t="shared" si="124"/>
        <v>1900</v>
      </c>
      <c r="W315" s="22" t="str">
        <f t="shared" si="122"/>
        <v>190000</v>
      </c>
      <c r="X315" s="22" t="str">
        <f t="shared" si="123"/>
        <v>190000</v>
      </c>
    </row>
    <row r="316" spans="2:24">
      <c r="B316" s="22"/>
      <c r="C316" s="22"/>
      <c r="D316" s="77"/>
      <c r="E316" s="54"/>
      <c r="F316" s="77"/>
      <c r="G316" s="77"/>
      <c r="H316" s="78"/>
      <c r="I316" s="54"/>
      <c r="J316" s="39"/>
      <c r="K316" s="54"/>
      <c r="P316" s="22">
        <f t="shared" si="118"/>
        <v>0</v>
      </c>
      <c r="Q316" s="22" t="str">
        <f t="shared" si="120"/>
        <v>00</v>
      </c>
      <c r="R316" s="22">
        <f t="shared" si="119"/>
        <v>0</v>
      </c>
      <c r="S316" s="22" t="str">
        <f t="shared" si="121"/>
        <v>00</v>
      </c>
      <c r="T316" s="22">
        <f t="shared" si="124"/>
        <v>1900</v>
      </c>
      <c r="U316" s="22">
        <f t="shared" si="124"/>
        <v>1900</v>
      </c>
      <c r="W316" s="22" t="str">
        <f t="shared" si="122"/>
        <v>190000</v>
      </c>
      <c r="X316" s="22" t="str">
        <f t="shared" si="123"/>
        <v>190000</v>
      </c>
    </row>
    <row r="317" spans="2:24">
      <c r="B317" s="22"/>
      <c r="C317" s="22"/>
      <c r="D317" s="77"/>
      <c r="E317" s="54"/>
      <c r="F317" s="77"/>
      <c r="G317" s="77"/>
      <c r="H317" s="78"/>
      <c r="I317" s="54"/>
      <c r="J317" s="39"/>
      <c r="K317" s="54"/>
      <c r="P317" s="22">
        <f t="shared" si="118"/>
        <v>0</v>
      </c>
      <c r="Q317" s="22" t="str">
        <f t="shared" si="120"/>
        <v>00</v>
      </c>
      <c r="R317" s="22">
        <f t="shared" si="119"/>
        <v>0</v>
      </c>
      <c r="S317" s="22" t="str">
        <f t="shared" si="121"/>
        <v>00</v>
      </c>
      <c r="T317" s="22">
        <f t="shared" si="124"/>
        <v>1900</v>
      </c>
      <c r="U317" s="22">
        <f t="shared" si="124"/>
        <v>1900</v>
      </c>
      <c r="W317" s="22" t="str">
        <f t="shared" si="122"/>
        <v>190000</v>
      </c>
      <c r="X317" s="22" t="str">
        <f t="shared" si="123"/>
        <v>190000</v>
      </c>
    </row>
    <row r="318" spans="2:24">
      <c r="B318" s="22"/>
      <c r="C318" s="22"/>
      <c r="D318" s="77"/>
      <c r="E318" s="54"/>
      <c r="F318" s="77"/>
      <c r="G318" s="77"/>
      <c r="H318" s="78"/>
      <c r="I318" s="54"/>
      <c r="J318" s="39"/>
      <c r="K318" s="54"/>
      <c r="P318" s="22">
        <f t="shared" si="118"/>
        <v>0</v>
      </c>
      <c r="Q318" s="22" t="str">
        <f t="shared" si="120"/>
        <v>00</v>
      </c>
      <c r="R318" s="22">
        <f t="shared" si="119"/>
        <v>0</v>
      </c>
      <c r="S318" s="22" t="str">
        <f t="shared" si="121"/>
        <v>00</v>
      </c>
      <c r="T318" s="22">
        <f t="shared" si="124"/>
        <v>1900</v>
      </c>
      <c r="U318" s="22">
        <f t="shared" si="124"/>
        <v>1900</v>
      </c>
      <c r="W318" s="22" t="str">
        <f t="shared" si="122"/>
        <v>190000</v>
      </c>
      <c r="X318" s="22" t="str">
        <f t="shared" si="123"/>
        <v>190000</v>
      </c>
    </row>
    <row r="319" spans="2:24">
      <c r="B319" s="22"/>
      <c r="C319" s="22"/>
      <c r="D319" s="77"/>
      <c r="E319" s="54"/>
      <c r="F319" s="77"/>
      <c r="G319" s="77"/>
      <c r="H319" s="78"/>
      <c r="I319" s="54"/>
      <c r="J319" s="39"/>
      <c r="K319" s="54"/>
      <c r="P319" s="22">
        <f t="shared" si="118"/>
        <v>0</v>
      </c>
      <c r="Q319" s="22" t="str">
        <f t="shared" si="120"/>
        <v>00</v>
      </c>
      <c r="R319" s="22">
        <f t="shared" si="119"/>
        <v>0</v>
      </c>
      <c r="S319" s="22" t="str">
        <f t="shared" si="121"/>
        <v>00</v>
      </c>
      <c r="T319" s="22">
        <f t="shared" si="124"/>
        <v>1900</v>
      </c>
      <c r="U319" s="22">
        <f t="shared" si="124"/>
        <v>1900</v>
      </c>
      <c r="W319" s="22" t="str">
        <f t="shared" si="122"/>
        <v>190000</v>
      </c>
      <c r="X319" s="22" t="str">
        <f t="shared" si="123"/>
        <v>190000</v>
      </c>
    </row>
    <row r="320" spans="2:24">
      <c r="B320" s="22"/>
      <c r="C320" s="22"/>
      <c r="D320" s="77"/>
      <c r="E320" s="54"/>
      <c r="F320" s="77"/>
      <c r="G320" s="77"/>
      <c r="H320" s="78"/>
      <c r="I320" s="54"/>
      <c r="J320" s="39"/>
      <c r="K320" s="54"/>
      <c r="P320" s="22">
        <f t="shared" ref="P320:P383" si="125">WEEKNUM(F320,2)-1</f>
        <v>0</v>
      </c>
      <c r="Q320" s="22" t="str">
        <f t="shared" si="120"/>
        <v>00</v>
      </c>
      <c r="R320" s="22">
        <f t="shared" ref="R320:R383" si="126">WEEKNUM(G320,2)-1</f>
        <v>0</v>
      </c>
      <c r="S320" s="22" t="str">
        <f t="shared" si="121"/>
        <v>00</v>
      </c>
      <c r="T320" s="22">
        <f t="shared" si="124"/>
        <v>1900</v>
      </c>
      <c r="U320" s="22">
        <f t="shared" si="124"/>
        <v>1900</v>
      </c>
      <c r="W320" s="22" t="str">
        <f t="shared" si="122"/>
        <v>190000</v>
      </c>
      <c r="X320" s="22" t="str">
        <f t="shared" si="123"/>
        <v>190000</v>
      </c>
    </row>
    <row r="321" spans="2:24">
      <c r="B321" s="22"/>
      <c r="C321" s="22"/>
      <c r="D321" s="77"/>
      <c r="E321" s="54"/>
      <c r="F321" s="77"/>
      <c r="G321" s="77"/>
      <c r="H321" s="78"/>
      <c r="I321" s="54"/>
      <c r="J321" s="39"/>
      <c r="K321" s="54"/>
      <c r="P321" s="22">
        <f t="shared" si="125"/>
        <v>0</v>
      </c>
      <c r="Q321" s="22" t="str">
        <f t="shared" si="120"/>
        <v>00</v>
      </c>
      <c r="R321" s="22">
        <f t="shared" si="126"/>
        <v>0</v>
      </c>
      <c r="S321" s="22" t="str">
        <f t="shared" si="121"/>
        <v>00</v>
      </c>
      <c r="T321" s="22">
        <f t="shared" si="124"/>
        <v>1900</v>
      </c>
      <c r="U321" s="22">
        <f t="shared" si="124"/>
        <v>1900</v>
      </c>
      <c r="W321" s="22" t="str">
        <f t="shared" si="122"/>
        <v>190000</v>
      </c>
      <c r="X321" s="22" t="str">
        <f t="shared" si="123"/>
        <v>190000</v>
      </c>
    </row>
    <row r="322" spans="2:24">
      <c r="B322" s="22"/>
      <c r="C322" s="22"/>
      <c r="D322" s="77"/>
      <c r="E322" s="54"/>
      <c r="F322" s="77"/>
      <c r="G322" s="77"/>
      <c r="H322" s="78"/>
      <c r="I322" s="54"/>
      <c r="J322" s="39"/>
      <c r="K322" s="54"/>
      <c r="P322" s="22">
        <f t="shared" si="125"/>
        <v>0</v>
      </c>
      <c r="Q322" s="22" t="str">
        <f t="shared" si="120"/>
        <v>00</v>
      </c>
      <c r="R322" s="22">
        <f t="shared" si="126"/>
        <v>0</v>
      </c>
      <c r="S322" s="22" t="str">
        <f t="shared" si="121"/>
        <v>00</v>
      </c>
      <c r="T322" s="22">
        <f t="shared" si="124"/>
        <v>1900</v>
      </c>
      <c r="U322" s="22">
        <f t="shared" si="124"/>
        <v>1900</v>
      </c>
      <c r="W322" s="22" t="str">
        <f t="shared" si="122"/>
        <v>190000</v>
      </c>
      <c r="X322" s="22" t="str">
        <f t="shared" si="123"/>
        <v>190000</v>
      </c>
    </row>
    <row r="323" spans="2:24">
      <c r="B323" s="22"/>
      <c r="C323" s="22"/>
      <c r="D323" s="77"/>
      <c r="E323" s="54"/>
      <c r="F323" s="77"/>
      <c r="G323" s="77"/>
      <c r="H323" s="78"/>
      <c r="I323" s="54"/>
      <c r="J323" s="39"/>
      <c r="K323" s="54"/>
      <c r="P323" s="22">
        <f t="shared" si="125"/>
        <v>0</v>
      </c>
      <c r="Q323" s="22" t="str">
        <f t="shared" ref="Q323:Q386" si="127">TEXT(P323,"00")</f>
        <v>00</v>
      </c>
      <c r="R323" s="22">
        <f t="shared" si="126"/>
        <v>0</v>
      </c>
      <c r="S323" s="22" t="str">
        <f t="shared" ref="S323:S386" si="128">TEXT(R323,"00")</f>
        <v>00</v>
      </c>
      <c r="T323" s="22">
        <f t="shared" si="124"/>
        <v>1900</v>
      </c>
      <c r="U323" s="22">
        <f t="shared" si="124"/>
        <v>1900</v>
      </c>
      <c r="W323" s="22" t="str">
        <f t="shared" ref="W323:W386" si="129">T323&amp;Q323</f>
        <v>190000</v>
      </c>
      <c r="X323" s="22" t="str">
        <f t="shared" ref="X323:X386" si="130">U323&amp;S323</f>
        <v>190000</v>
      </c>
    </row>
    <row r="324" spans="2:24">
      <c r="B324" s="22"/>
      <c r="C324" s="22"/>
      <c r="D324" s="77"/>
      <c r="E324" s="54"/>
      <c r="F324" s="77"/>
      <c r="G324" s="77"/>
      <c r="H324" s="78"/>
      <c r="I324" s="54"/>
      <c r="J324" s="39"/>
      <c r="K324" s="54"/>
      <c r="P324" s="22">
        <f t="shared" si="125"/>
        <v>0</v>
      </c>
      <c r="Q324" s="22" t="str">
        <f t="shared" si="127"/>
        <v>00</v>
      </c>
      <c r="R324" s="22">
        <f t="shared" si="126"/>
        <v>0</v>
      </c>
      <c r="S324" s="22" t="str">
        <f t="shared" si="128"/>
        <v>00</v>
      </c>
      <c r="T324" s="22">
        <f t="shared" si="124"/>
        <v>1900</v>
      </c>
      <c r="U324" s="22">
        <f t="shared" si="124"/>
        <v>1900</v>
      </c>
      <c r="W324" s="22" t="str">
        <f t="shared" si="129"/>
        <v>190000</v>
      </c>
      <c r="X324" s="22" t="str">
        <f t="shared" si="130"/>
        <v>190000</v>
      </c>
    </row>
    <row r="325" spans="2:24">
      <c r="B325" s="22"/>
      <c r="C325" s="22"/>
      <c r="D325" s="77"/>
      <c r="E325" s="54"/>
      <c r="F325" s="77"/>
      <c r="G325" s="77"/>
      <c r="H325" s="78"/>
      <c r="I325" s="54"/>
      <c r="J325" s="39"/>
      <c r="K325" s="54"/>
      <c r="P325" s="22">
        <f t="shared" si="125"/>
        <v>0</v>
      </c>
      <c r="Q325" s="22" t="str">
        <f t="shared" si="127"/>
        <v>00</v>
      </c>
      <c r="R325" s="22">
        <f t="shared" si="126"/>
        <v>0</v>
      </c>
      <c r="S325" s="22" t="str">
        <f t="shared" si="128"/>
        <v>00</v>
      </c>
      <c r="T325" s="22">
        <f t="shared" si="124"/>
        <v>1900</v>
      </c>
      <c r="U325" s="22">
        <f t="shared" si="124"/>
        <v>1900</v>
      </c>
      <c r="W325" s="22" t="str">
        <f t="shared" si="129"/>
        <v>190000</v>
      </c>
      <c r="X325" s="22" t="str">
        <f t="shared" si="130"/>
        <v>190000</v>
      </c>
    </row>
    <row r="326" spans="2:24">
      <c r="B326" s="22"/>
      <c r="C326" s="22"/>
      <c r="D326" s="77"/>
      <c r="E326" s="54"/>
      <c r="F326" s="77"/>
      <c r="G326" s="77"/>
      <c r="H326" s="78"/>
      <c r="I326" s="54"/>
      <c r="J326" s="39"/>
      <c r="K326" s="54"/>
      <c r="P326" s="22">
        <f t="shared" si="125"/>
        <v>0</v>
      </c>
      <c r="Q326" s="22" t="str">
        <f t="shared" si="127"/>
        <v>00</v>
      </c>
      <c r="R326" s="22">
        <f t="shared" si="126"/>
        <v>0</v>
      </c>
      <c r="S326" s="22" t="str">
        <f t="shared" si="128"/>
        <v>00</v>
      </c>
      <c r="T326" s="22">
        <f t="shared" si="124"/>
        <v>1900</v>
      </c>
      <c r="U326" s="22">
        <f t="shared" si="124"/>
        <v>1900</v>
      </c>
      <c r="W326" s="22" t="str">
        <f t="shared" si="129"/>
        <v>190000</v>
      </c>
      <c r="X326" s="22" t="str">
        <f t="shared" si="130"/>
        <v>190000</v>
      </c>
    </row>
    <row r="327" spans="2:24">
      <c r="B327" s="22"/>
      <c r="C327" s="22"/>
      <c r="D327" s="77"/>
      <c r="E327" s="54"/>
      <c r="F327" s="77"/>
      <c r="G327" s="77"/>
      <c r="H327" s="78"/>
      <c r="I327" s="54"/>
      <c r="J327" s="39"/>
      <c r="K327" s="54"/>
      <c r="P327" s="22">
        <f t="shared" si="125"/>
        <v>0</v>
      </c>
      <c r="Q327" s="22" t="str">
        <f t="shared" si="127"/>
        <v>00</v>
      </c>
      <c r="R327" s="22">
        <f t="shared" si="126"/>
        <v>0</v>
      </c>
      <c r="S327" s="22" t="str">
        <f t="shared" si="128"/>
        <v>00</v>
      </c>
      <c r="T327" s="22">
        <f t="shared" si="124"/>
        <v>1900</v>
      </c>
      <c r="U327" s="22">
        <f t="shared" si="124"/>
        <v>1900</v>
      </c>
      <c r="W327" s="22" t="str">
        <f t="shared" si="129"/>
        <v>190000</v>
      </c>
      <c r="X327" s="22" t="str">
        <f t="shared" si="130"/>
        <v>190000</v>
      </c>
    </row>
    <row r="328" spans="2:24">
      <c r="B328" s="22"/>
      <c r="C328" s="22"/>
      <c r="D328" s="77"/>
      <c r="E328" s="54"/>
      <c r="F328" s="77"/>
      <c r="G328" s="77"/>
      <c r="H328" s="78"/>
      <c r="I328" s="54"/>
      <c r="J328" s="39"/>
      <c r="K328" s="54"/>
      <c r="P328" s="22">
        <f t="shared" si="125"/>
        <v>0</v>
      </c>
      <c r="Q328" s="22" t="str">
        <f t="shared" si="127"/>
        <v>00</v>
      </c>
      <c r="R328" s="22">
        <f t="shared" si="126"/>
        <v>0</v>
      </c>
      <c r="S328" s="22" t="str">
        <f t="shared" si="128"/>
        <v>00</v>
      </c>
      <c r="T328" s="22">
        <f t="shared" si="124"/>
        <v>1900</v>
      </c>
      <c r="U328" s="22">
        <f t="shared" si="124"/>
        <v>1900</v>
      </c>
      <c r="W328" s="22" t="str">
        <f t="shared" si="129"/>
        <v>190000</v>
      </c>
      <c r="X328" s="22" t="str">
        <f t="shared" si="130"/>
        <v>190000</v>
      </c>
    </row>
    <row r="329" spans="2:24">
      <c r="B329" s="22"/>
      <c r="C329" s="22"/>
      <c r="D329" s="77"/>
      <c r="E329" s="54"/>
      <c r="F329" s="77"/>
      <c r="G329" s="77"/>
      <c r="H329" s="78"/>
      <c r="I329" s="54"/>
      <c r="J329" s="39"/>
      <c r="K329" s="54"/>
      <c r="P329" s="22">
        <f t="shared" si="125"/>
        <v>0</v>
      </c>
      <c r="Q329" s="22" t="str">
        <f t="shared" si="127"/>
        <v>00</v>
      </c>
      <c r="R329" s="22">
        <f t="shared" si="126"/>
        <v>0</v>
      </c>
      <c r="S329" s="22" t="str">
        <f t="shared" si="128"/>
        <v>00</v>
      </c>
      <c r="T329" s="22">
        <f t="shared" si="124"/>
        <v>1900</v>
      </c>
      <c r="U329" s="22">
        <f t="shared" si="124"/>
        <v>1900</v>
      </c>
      <c r="W329" s="22" t="str">
        <f t="shared" si="129"/>
        <v>190000</v>
      </c>
      <c r="X329" s="22" t="str">
        <f t="shared" si="130"/>
        <v>190000</v>
      </c>
    </row>
    <row r="330" spans="2:24">
      <c r="B330" s="22"/>
      <c r="C330" s="22"/>
      <c r="D330" s="77"/>
      <c r="E330" s="54"/>
      <c r="F330" s="77"/>
      <c r="G330" s="77"/>
      <c r="H330" s="78"/>
      <c r="I330" s="54"/>
      <c r="J330" s="39"/>
      <c r="K330" s="54"/>
      <c r="P330" s="22">
        <f t="shared" si="125"/>
        <v>0</v>
      </c>
      <c r="Q330" s="22" t="str">
        <f t="shared" si="127"/>
        <v>00</v>
      </c>
      <c r="R330" s="22">
        <f t="shared" si="126"/>
        <v>0</v>
      </c>
      <c r="S330" s="22" t="str">
        <f t="shared" si="128"/>
        <v>00</v>
      </c>
      <c r="T330" s="22">
        <f t="shared" si="124"/>
        <v>1900</v>
      </c>
      <c r="U330" s="22">
        <f t="shared" si="124"/>
        <v>1900</v>
      </c>
      <c r="W330" s="22" t="str">
        <f t="shared" si="129"/>
        <v>190000</v>
      </c>
      <c r="X330" s="22" t="str">
        <f t="shared" si="130"/>
        <v>190000</v>
      </c>
    </row>
    <row r="331" spans="2:24">
      <c r="B331" s="22"/>
      <c r="C331" s="22"/>
      <c r="D331" s="77"/>
      <c r="E331" s="54"/>
      <c r="F331" s="77"/>
      <c r="G331" s="77"/>
      <c r="H331" s="78"/>
      <c r="I331" s="54"/>
      <c r="J331" s="39"/>
      <c r="K331" s="54"/>
      <c r="P331" s="22">
        <f t="shared" si="125"/>
        <v>0</v>
      </c>
      <c r="Q331" s="22" t="str">
        <f t="shared" si="127"/>
        <v>00</v>
      </c>
      <c r="R331" s="22">
        <f t="shared" si="126"/>
        <v>0</v>
      </c>
      <c r="S331" s="22" t="str">
        <f t="shared" si="128"/>
        <v>00</v>
      </c>
      <c r="T331" s="22">
        <f t="shared" si="124"/>
        <v>1900</v>
      </c>
      <c r="U331" s="22">
        <f t="shared" si="124"/>
        <v>1900</v>
      </c>
      <c r="W331" s="22" t="str">
        <f t="shared" si="129"/>
        <v>190000</v>
      </c>
      <c r="X331" s="22" t="str">
        <f t="shared" si="130"/>
        <v>190000</v>
      </c>
    </row>
    <row r="332" spans="2:24">
      <c r="B332" s="22"/>
      <c r="C332" s="22"/>
      <c r="D332" s="77"/>
      <c r="E332" s="54"/>
      <c r="F332" s="77"/>
      <c r="G332" s="77"/>
      <c r="H332" s="78"/>
      <c r="I332" s="54"/>
      <c r="J332" s="39"/>
      <c r="K332" s="54"/>
      <c r="P332" s="22">
        <f t="shared" si="125"/>
        <v>0</v>
      </c>
      <c r="Q332" s="22" t="str">
        <f t="shared" si="127"/>
        <v>00</v>
      </c>
      <c r="R332" s="22">
        <f t="shared" si="126"/>
        <v>0</v>
      </c>
      <c r="S332" s="22" t="str">
        <f t="shared" si="128"/>
        <v>00</v>
      </c>
      <c r="T332" s="22">
        <f t="shared" si="124"/>
        <v>1900</v>
      </c>
      <c r="U332" s="22">
        <f t="shared" si="124"/>
        <v>1900</v>
      </c>
      <c r="W332" s="22" t="str">
        <f t="shared" si="129"/>
        <v>190000</v>
      </c>
      <c r="X332" s="22" t="str">
        <f t="shared" si="130"/>
        <v>190000</v>
      </c>
    </row>
    <row r="333" spans="2:24">
      <c r="B333" s="22"/>
      <c r="C333" s="22"/>
      <c r="D333" s="77"/>
      <c r="E333" s="54"/>
      <c r="F333" s="77"/>
      <c r="G333" s="77"/>
      <c r="H333" s="78"/>
      <c r="I333" s="54"/>
      <c r="J333" s="39"/>
      <c r="K333" s="54"/>
      <c r="P333" s="22">
        <f t="shared" si="125"/>
        <v>0</v>
      </c>
      <c r="Q333" s="22" t="str">
        <f t="shared" si="127"/>
        <v>00</v>
      </c>
      <c r="R333" s="22">
        <f t="shared" si="126"/>
        <v>0</v>
      </c>
      <c r="S333" s="22" t="str">
        <f t="shared" si="128"/>
        <v>00</v>
      </c>
      <c r="T333" s="22">
        <f t="shared" si="124"/>
        <v>1900</v>
      </c>
      <c r="U333" s="22">
        <f t="shared" si="124"/>
        <v>1900</v>
      </c>
      <c r="W333" s="22" t="str">
        <f t="shared" si="129"/>
        <v>190000</v>
      </c>
      <c r="X333" s="22" t="str">
        <f t="shared" si="130"/>
        <v>190000</v>
      </c>
    </row>
    <row r="334" spans="2:24">
      <c r="B334" s="22"/>
      <c r="C334" s="22"/>
      <c r="D334" s="77"/>
      <c r="E334" s="54"/>
      <c r="F334" s="77"/>
      <c r="G334" s="77"/>
      <c r="H334" s="78"/>
      <c r="I334" s="54"/>
      <c r="J334" s="39"/>
      <c r="K334" s="54"/>
      <c r="P334" s="22">
        <f t="shared" si="125"/>
        <v>0</v>
      </c>
      <c r="Q334" s="22" t="str">
        <f t="shared" si="127"/>
        <v>00</v>
      </c>
      <c r="R334" s="22">
        <f t="shared" si="126"/>
        <v>0</v>
      </c>
      <c r="S334" s="22" t="str">
        <f t="shared" si="128"/>
        <v>00</v>
      </c>
      <c r="T334" s="22">
        <f t="shared" si="124"/>
        <v>1900</v>
      </c>
      <c r="U334" s="22">
        <f t="shared" si="124"/>
        <v>1900</v>
      </c>
      <c r="W334" s="22" t="str">
        <f t="shared" si="129"/>
        <v>190000</v>
      </c>
      <c r="X334" s="22" t="str">
        <f t="shared" si="130"/>
        <v>190000</v>
      </c>
    </row>
    <row r="335" spans="2:24">
      <c r="B335" s="22"/>
      <c r="C335" s="22"/>
      <c r="D335" s="77"/>
      <c r="E335" s="54"/>
      <c r="F335" s="77"/>
      <c r="G335" s="77"/>
      <c r="H335" s="78"/>
      <c r="I335" s="54"/>
      <c r="J335" s="39"/>
      <c r="K335" s="54"/>
      <c r="P335" s="22">
        <f t="shared" si="125"/>
        <v>0</v>
      </c>
      <c r="Q335" s="22" t="str">
        <f t="shared" si="127"/>
        <v>00</v>
      </c>
      <c r="R335" s="22">
        <f t="shared" si="126"/>
        <v>0</v>
      </c>
      <c r="S335" s="22" t="str">
        <f t="shared" si="128"/>
        <v>00</v>
      </c>
      <c r="T335" s="22">
        <f t="shared" si="124"/>
        <v>1900</v>
      </c>
      <c r="U335" s="22">
        <f t="shared" si="124"/>
        <v>1900</v>
      </c>
      <c r="W335" s="22" t="str">
        <f t="shared" si="129"/>
        <v>190000</v>
      </c>
      <c r="X335" s="22" t="str">
        <f t="shared" si="130"/>
        <v>190000</v>
      </c>
    </row>
    <row r="336" spans="2:24">
      <c r="B336" s="22"/>
      <c r="C336" s="22"/>
      <c r="D336" s="77"/>
      <c r="E336" s="54"/>
      <c r="F336" s="77"/>
      <c r="G336" s="77"/>
      <c r="H336" s="78"/>
      <c r="I336" s="54"/>
      <c r="J336" s="39"/>
      <c r="K336" s="54"/>
      <c r="P336" s="22">
        <f t="shared" si="125"/>
        <v>0</v>
      </c>
      <c r="Q336" s="22" t="str">
        <f t="shared" si="127"/>
        <v>00</v>
      </c>
      <c r="R336" s="22">
        <f t="shared" si="126"/>
        <v>0</v>
      </c>
      <c r="S336" s="22" t="str">
        <f t="shared" si="128"/>
        <v>00</v>
      </c>
      <c r="T336" s="22">
        <f t="shared" si="124"/>
        <v>1900</v>
      </c>
      <c r="U336" s="22">
        <f t="shared" si="124"/>
        <v>1900</v>
      </c>
      <c r="W336" s="22" t="str">
        <f t="shared" si="129"/>
        <v>190000</v>
      </c>
      <c r="X336" s="22" t="str">
        <f t="shared" si="130"/>
        <v>190000</v>
      </c>
    </row>
    <row r="337" spans="2:24">
      <c r="B337" s="22"/>
      <c r="C337" s="22"/>
      <c r="D337" s="77"/>
      <c r="E337" s="54"/>
      <c r="F337" s="77"/>
      <c r="G337" s="77"/>
      <c r="H337" s="78"/>
      <c r="I337" s="54"/>
      <c r="J337" s="39"/>
      <c r="K337" s="54"/>
      <c r="P337" s="22">
        <f t="shared" si="125"/>
        <v>0</v>
      </c>
      <c r="Q337" s="22" t="str">
        <f t="shared" si="127"/>
        <v>00</v>
      </c>
      <c r="R337" s="22">
        <f t="shared" si="126"/>
        <v>0</v>
      </c>
      <c r="S337" s="22" t="str">
        <f t="shared" si="128"/>
        <v>00</v>
      </c>
      <c r="T337" s="22">
        <f t="shared" si="124"/>
        <v>1900</v>
      </c>
      <c r="U337" s="22">
        <f t="shared" si="124"/>
        <v>1900</v>
      </c>
      <c r="W337" s="22" t="str">
        <f t="shared" si="129"/>
        <v>190000</v>
      </c>
      <c r="X337" s="22" t="str">
        <f t="shared" si="130"/>
        <v>190000</v>
      </c>
    </row>
    <row r="338" spans="2:24">
      <c r="B338" s="22"/>
      <c r="C338" s="22"/>
      <c r="D338" s="77"/>
      <c r="E338" s="54"/>
      <c r="F338" s="77"/>
      <c r="G338" s="77"/>
      <c r="H338" s="78"/>
      <c r="I338" s="54"/>
      <c r="J338" s="39"/>
      <c r="K338" s="54"/>
      <c r="P338" s="22">
        <f t="shared" si="125"/>
        <v>0</v>
      </c>
      <c r="Q338" s="22" t="str">
        <f t="shared" si="127"/>
        <v>00</v>
      </c>
      <c r="R338" s="22">
        <f t="shared" si="126"/>
        <v>0</v>
      </c>
      <c r="S338" s="22" t="str">
        <f t="shared" si="128"/>
        <v>00</v>
      </c>
      <c r="T338" s="22">
        <f t="shared" si="124"/>
        <v>1900</v>
      </c>
      <c r="U338" s="22">
        <f t="shared" si="124"/>
        <v>1900</v>
      </c>
      <c r="W338" s="22" t="str">
        <f t="shared" si="129"/>
        <v>190000</v>
      </c>
      <c r="X338" s="22" t="str">
        <f t="shared" si="130"/>
        <v>190000</v>
      </c>
    </row>
    <row r="339" spans="2:24">
      <c r="B339" s="22"/>
      <c r="C339" s="22"/>
      <c r="D339" s="77"/>
      <c r="E339" s="54"/>
      <c r="F339" s="77"/>
      <c r="G339" s="77"/>
      <c r="H339" s="78"/>
      <c r="I339" s="54"/>
      <c r="J339" s="39"/>
      <c r="K339" s="54"/>
      <c r="P339" s="22">
        <f t="shared" si="125"/>
        <v>0</v>
      </c>
      <c r="Q339" s="22" t="str">
        <f t="shared" si="127"/>
        <v>00</v>
      </c>
      <c r="R339" s="22">
        <f t="shared" si="126"/>
        <v>0</v>
      </c>
      <c r="S339" s="22" t="str">
        <f t="shared" si="128"/>
        <v>00</v>
      </c>
      <c r="T339" s="22">
        <f t="shared" si="124"/>
        <v>1900</v>
      </c>
      <c r="U339" s="22">
        <f t="shared" si="124"/>
        <v>1900</v>
      </c>
      <c r="W339" s="22" t="str">
        <f t="shared" si="129"/>
        <v>190000</v>
      </c>
      <c r="X339" s="22" t="str">
        <f t="shared" si="130"/>
        <v>190000</v>
      </c>
    </row>
    <row r="340" spans="2:24">
      <c r="B340" s="22"/>
      <c r="C340" s="22"/>
      <c r="D340" s="77"/>
      <c r="E340" s="54"/>
      <c r="F340" s="77"/>
      <c r="G340" s="77"/>
      <c r="H340" s="78"/>
      <c r="I340" s="54"/>
      <c r="J340" s="39"/>
      <c r="K340" s="54"/>
      <c r="P340" s="22">
        <f t="shared" si="125"/>
        <v>0</v>
      </c>
      <c r="Q340" s="22" t="str">
        <f t="shared" si="127"/>
        <v>00</v>
      </c>
      <c r="R340" s="22">
        <f t="shared" si="126"/>
        <v>0</v>
      </c>
      <c r="S340" s="22" t="str">
        <f t="shared" si="128"/>
        <v>00</v>
      </c>
      <c r="T340" s="22">
        <f t="shared" ref="T340:U403" si="131">YEAR(F340)</f>
        <v>1900</v>
      </c>
      <c r="U340" s="22">
        <f t="shared" si="131"/>
        <v>1900</v>
      </c>
      <c r="W340" s="22" t="str">
        <f t="shared" si="129"/>
        <v>190000</v>
      </c>
      <c r="X340" s="22" t="str">
        <f t="shared" si="130"/>
        <v>190000</v>
      </c>
    </row>
    <row r="341" spans="2:24">
      <c r="B341" s="22"/>
      <c r="C341" s="22"/>
      <c r="D341" s="77"/>
      <c r="E341" s="54"/>
      <c r="F341" s="77"/>
      <c r="G341" s="77"/>
      <c r="H341" s="78"/>
      <c r="I341" s="54"/>
      <c r="J341" s="39"/>
      <c r="K341" s="54"/>
      <c r="P341" s="22">
        <f t="shared" si="125"/>
        <v>0</v>
      </c>
      <c r="Q341" s="22" t="str">
        <f t="shared" si="127"/>
        <v>00</v>
      </c>
      <c r="R341" s="22">
        <f t="shared" si="126"/>
        <v>0</v>
      </c>
      <c r="S341" s="22" t="str">
        <f t="shared" si="128"/>
        <v>00</v>
      </c>
      <c r="T341" s="22">
        <f t="shared" si="131"/>
        <v>1900</v>
      </c>
      <c r="U341" s="22">
        <f t="shared" si="131"/>
        <v>1900</v>
      </c>
      <c r="W341" s="22" t="str">
        <f t="shared" si="129"/>
        <v>190000</v>
      </c>
      <c r="X341" s="22" t="str">
        <f t="shared" si="130"/>
        <v>190000</v>
      </c>
    </row>
    <row r="342" spans="2:24">
      <c r="B342" s="22"/>
      <c r="C342" s="22"/>
      <c r="D342" s="77"/>
      <c r="E342" s="54"/>
      <c r="F342" s="77"/>
      <c r="G342" s="77"/>
      <c r="H342" s="78"/>
      <c r="I342" s="54"/>
      <c r="J342" s="39"/>
      <c r="K342" s="54"/>
      <c r="P342" s="22">
        <f t="shared" si="125"/>
        <v>0</v>
      </c>
      <c r="Q342" s="22" t="str">
        <f t="shared" si="127"/>
        <v>00</v>
      </c>
      <c r="R342" s="22">
        <f t="shared" si="126"/>
        <v>0</v>
      </c>
      <c r="S342" s="22" t="str">
        <f t="shared" si="128"/>
        <v>00</v>
      </c>
      <c r="T342" s="22">
        <f t="shared" si="131"/>
        <v>1900</v>
      </c>
      <c r="U342" s="22">
        <f t="shared" si="131"/>
        <v>1900</v>
      </c>
      <c r="W342" s="22" t="str">
        <f t="shared" si="129"/>
        <v>190000</v>
      </c>
      <c r="X342" s="22" t="str">
        <f t="shared" si="130"/>
        <v>190000</v>
      </c>
    </row>
    <row r="343" spans="2:24">
      <c r="B343" s="22"/>
      <c r="C343" s="22"/>
      <c r="D343" s="77"/>
      <c r="E343" s="54"/>
      <c r="F343" s="77"/>
      <c r="G343" s="77"/>
      <c r="H343" s="78"/>
      <c r="I343" s="54"/>
      <c r="J343" s="39"/>
      <c r="K343" s="54"/>
      <c r="P343" s="22">
        <f t="shared" si="125"/>
        <v>0</v>
      </c>
      <c r="Q343" s="22" t="str">
        <f t="shared" si="127"/>
        <v>00</v>
      </c>
      <c r="R343" s="22">
        <f t="shared" si="126"/>
        <v>0</v>
      </c>
      <c r="S343" s="22" t="str">
        <f t="shared" si="128"/>
        <v>00</v>
      </c>
      <c r="T343" s="22">
        <f t="shared" si="131"/>
        <v>1900</v>
      </c>
      <c r="U343" s="22">
        <f t="shared" si="131"/>
        <v>1900</v>
      </c>
      <c r="W343" s="22" t="str">
        <f t="shared" si="129"/>
        <v>190000</v>
      </c>
      <c r="X343" s="22" t="str">
        <f t="shared" si="130"/>
        <v>190000</v>
      </c>
    </row>
    <row r="344" spans="2:24">
      <c r="B344" s="22"/>
      <c r="C344" s="22"/>
      <c r="D344" s="77"/>
      <c r="E344" s="54"/>
      <c r="F344" s="77"/>
      <c r="G344" s="77"/>
      <c r="H344" s="78"/>
      <c r="I344" s="54"/>
      <c r="J344" s="39"/>
      <c r="K344" s="54"/>
      <c r="P344" s="22">
        <f t="shared" si="125"/>
        <v>0</v>
      </c>
      <c r="Q344" s="22" t="str">
        <f t="shared" si="127"/>
        <v>00</v>
      </c>
      <c r="R344" s="22">
        <f t="shared" si="126"/>
        <v>0</v>
      </c>
      <c r="S344" s="22" t="str">
        <f t="shared" si="128"/>
        <v>00</v>
      </c>
      <c r="T344" s="22">
        <f t="shared" si="131"/>
        <v>1900</v>
      </c>
      <c r="U344" s="22">
        <f t="shared" si="131"/>
        <v>1900</v>
      </c>
      <c r="W344" s="22" t="str">
        <f t="shared" si="129"/>
        <v>190000</v>
      </c>
      <c r="X344" s="22" t="str">
        <f t="shared" si="130"/>
        <v>190000</v>
      </c>
    </row>
    <row r="345" spans="2:24">
      <c r="B345" s="22"/>
      <c r="C345" s="22"/>
      <c r="D345" s="77"/>
      <c r="E345" s="54"/>
      <c r="F345" s="77"/>
      <c r="G345" s="77"/>
      <c r="H345" s="78"/>
      <c r="I345" s="54"/>
      <c r="J345" s="39"/>
      <c r="K345" s="54"/>
      <c r="P345" s="22">
        <f t="shared" si="125"/>
        <v>0</v>
      </c>
      <c r="Q345" s="22" t="str">
        <f t="shared" si="127"/>
        <v>00</v>
      </c>
      <c r="R345" s="22">
        <f t="shared" si="126"/>
        <v>0</v>
      </c>
      <c r="S345" s="22" t="str">
        <f t="shared" si="128"/>
        <v>00</v>
      </c>
      <c r="T345" s="22">
        <f t="shared" si="131"/>
        <v>1900</v>
      </c>
      <c r="U345" s="22">
        <f t="shared" si="131"/>
        <v>1900</v>
      </c>
      <c r="W345" s="22" t="str">
        <f t="shared" si="129"/>
        <v>190000</v>
      </c>
      <c r="X345" s="22" t="str">
        <f t="shared" si="130"/>
        <v>190000</v>
      </c>
    </row>
    <row r="346" spans="2:24">
      <c r="B346" s="22"/>
      <c r="C346" s="22"/>
      <c r="D346" s="77"/>
      <c r="E346" s="54"/>
      <c r="F346" s="77"/>
      <c r="G346" s="77"/>
      <c r="H346" s="78"/>
      <c r="I346" s="54"/>
      <c r="J346" s="39"/>
      <c r="K346" s="54"/>
      <c r="P346" s="22">
        <f t="shared" si="125"/>
        <v>0</v>
      </c>
      <c r="Q346" s="22" t="str">
        <f t="shared" si="127"/>
        <v>00</v>
      </c>
      <c r="R346" s="22">
        <f t="shared" si="126"/>
        <v>0</v>
      </c>
      <c r="S346" s="22" t="str">
        <f t="shared" si="128"/>
        <v>00</v>
      </c>
      <c r="T346" s="22">
        <f t="shared" si="131"/>
        <v>1900</v>
      </c>
      <c r="U346" s="22">
        <f t="shared" si="131"/>
        <v>1900</v>
      </c>
      <c r="W346" s="22" t="str">
        <f t="shared" si="129"/>
        <v>190000</v>
      </c>
      <c r="X346" s="22" t="str">
        <f t="shared" si="130"/>
        <v>190000</v>
      </c>
    </row>
    <row r="347" spans="2:24">
      <c r="B347" s="22"/>
      <c r="C347" s="22"/>
      <c r="D347" s="77"/>
      <c r="E347" s="54"/>
      <c r="F347" s="77"/>
      <c r="G347" s="77"/>
      <c r="H347" s="78"/>
      <c r="I347" s="54"/>
      <c r="J347" s="39"/>
      <c r="K347" s="54"/>
      <c r="P347" s="22">
        <f t="shared" si="125"/>
        <v>0</v>
      </c>
      <c r="Q347" s="22" t="str">
        <f t="shared" si="127"/>
        <v>00</v>
      </c>
      <c r="R347" s="22">
        <f t="shared" si="126"/>
        <v>0</v>
      </c>
      <c r="S347" s="22" t="str">
        <f t="shared" si="128"/>
        <v>00</v>
      </c>
      <c r="T347" s="22">
        <f t="shared" si="131"/>
        <v>1900</v>
      </c>
      <c r="U347" s="22">
        <f t="shared" si="131"/>
        <v>1900</v>
      </c>
      <c r="W347" s="22" t="str">
        <f t="shared" si="129"/>
        <v>190000</v>
      </c>
      <c r="X347" s="22" t="str">
        <f t="shared" si="130"/>
        <v>190000</v>
      </c>
    </row>
    <row r="348" spans="2:24">
      <c r="B348" s="22"/>
      <c r="C348" s="22"/>
      <c r="D348" s="77"/>
      <c r="E348" s="54"/>
      <c r="F348" s="77"/>
      <c r="G348" s="77"/>
      <c r="H348" s="78"/>
      <c r="I348" s="54"/>
      <c r="J348" s="39"/>
      <c r="K348" s="54"/>
      <c r="P348" s="22">
        <f t="shared" si="125"/>
        <v>0</v>
      </c>
      <c r="Q348" s="22" t="str">
        <f t="shared" si="127"/>
        <v>00</v>
      </c>
      <c r="R348" s="22">
        <f t="shared" si="126"/>
        <v>0</v>
      </c>
      <c r="S348" s="22" t="str">
        <f t="shared" si="128"/>
        <v>00</v>
      </c>
      <c r="T348" s="22">
        <f t="shared" si="131"/>
        <v>1900</v>
      </c>
      <c r="U348" s="22">
        <f t="shared" si="131"/>
        <v>1900</v>
      </c>
      <c r="W348" s="22" t="str">
        <f t="shared" si="129"/>
        <v>190000</v>
      </c>
      <c r="X348" s="22" t="str">
        <f t="shared" si="130"/>
        <v>190000</v>
      </c>
    </row>
    <row r="349" spans="2:24">
      <c r="B349" s="22"/>
      <c r="C349" s="22"/>
      <c r="D349" s="77"/>
      <c r="E349" s="54"/>
      <c r="F349" s="77"/>
      <c r="G349" s="77"/>
      <c r="H349" s="78"/>
      <c r="I349" s="54"/>
      <c r="J349" s="39"/>
      <c r="K349" s="54"/>
      <c r="P349" s="22">
        <f t="shared" si="125"/>
        <v>0</v>
      </c>
      <c r="Q349" s="22" t="str">
        <f t="shared" si="127"/>
        <v>00</v>
      </c>
      <c r="R349" s="22">
        <f t="shared" si="126"/>
        <v>0</v>
      </c>
      <c r="S349" s="22" t="str">
        <f t="shared" si="128"/>
        <v>00</v>
      </c>
      <c r="T349" s="22">
        <f t="shared" si="131"/>
        <v>1900</v>
      </c>
      <c r="U349" s="22">
        <f t="shared" si="131"/>
        <v>1900</v>
      </c>
      <c r="W349" s="22" t="str">
        <f t="shared" si="129"/>
        <v>190000</v>
      </c>
      <c r="X349" s="22" t="str">
        <f t="shared" si="130"/>
        <v>190000</v>
      </c>
    </row>
    <row r="350" spans="2:24">
      <c r="B350" s="22"/>
      <c r="C350" s="22"/>
      <c r="D350" s="77"/>
      <c r="E350" s="54"/>
      <c r="F350" s="77"/>
      <c r="G350" s="77"/>
      <c r="H350" s="78"/>
      <c r="I350" s="54"/>
      <c r="J350" s="39"/>
      <c r="K350" s="54"/>
      <c r="P350" s="22">
        <f t="shared" si="125"/>
        <v>0</v>
      </c>
      <c r="Q350" s="22" t="str">
        <f t="shared" si="127"/>
        <v>00</v>
      </c>
      <c r="R350" s="22">
        <f t="shared" si="126"/>
        <v>0</v>
      </c>
      <c r="S350" s="22" t="str">
        <f t="shared" si="128"/>
        <v>00</v>
      </c>
      <c r="T350" s="22">
        <f t="shared" si="131"/>
        <v>1900</v>
      </c>
      <c r="U350" s="22">
        <f t="shared" si="131"/>
        <v>1900</v>
      </c>
      <c r="W350" s="22" t="str">
        <f t="shared" si="129"/>
        <v>190000</v>
      </c>
      <c r="X350" s="22" t="str">
        <f t="shared" si="130"/>
        <v>190000</v>
      </c>
    </row>
    <row r="351" spans="2:24">
      <c r="B351" s="22"/>
      <c r="C351" s="22"/>
      <c r="D351" s="77"/>
      <c r="E351" s="54"/>
      <c r="F351" s="77"/>
      <c r="G351" s="77"/>
      <c r="H351" s="78"/>
      <c r="I351" s="54"/>
      <c r="J351" s="39"/>
      <c r="K351" s="54"/>
      <c r="P351" s="22">
        <f t="shared" si="125"/>
        <v>0</v>
      </c>
      <c r="Q351" s="22" t="str">
        <f t="shared" si="127"/>
        <v>00</v>
      </c>
      <c r="R351" s="22">
        <f t="shared" si="126"/>
        <v>0</v>
      </c>
      <c r="S351" s="22" t="str">
        <f t="shared" si="128"/>
        <v>00</v>
      </c>
      <c r="T351" s="22">
        <f t="shared" si="131"/>
        <v>1900</v>
      </c>
      <c r="U351" s="22">
        <f t="shared" si="131"/>
        <v>1900</v>
      </c>
      <c r="W351" s="22" t="str">
        <f t="shared" si="129"/>
        <v>190000</v>
      </c>
      <c r="X351" s="22" t="str">
        <f t="shared" si="130"/>
        <v>190000</v>
      </c>
    </row>
    <row r="352" spans="2:24">
      <c r="B352" s="22"/>
      <c r="C352" s="22"/>
      <c r="D352" s="77"/>
      <c r="E352" s="54"/>
      <c r="F352" s="77"/>
      <c r="G352" s="77"/>
      <c r="H352" s="78"/>
      <c r="I352" s="54"/>
      <c r="J352" s="39"/>
      <c r="K352" s="54"/>
      <c r="P352" s="22">
        <f t="shared" si="125"/>
        <v>0</v>
      </c>
      <c r="Q352" s="22" t="str">
        <f t="shared" si="127"/>
        <v>00</v>
      </c>
      <c r="R352" s="22">
        <f t="shared" si="126"/>
        <v>0</v>
      </c>
      <c r="S352" s="22" t="str">
        <f t="shared" si="128"/>
        <v>00</v>
      </c>
      <c r="T352" s="22">
        <f t="shared" si="131"/>
        <v>1900</v>
      </c>
      <c r="U352" s="22">
        <f t="shared" si="131"/>
        <v>1900</v>
      </c>
      <c r="W352" s="22" t="str">
        <f t="shared" si="129"/>
        <v>190000</v>
      </c>
      <c r="X352" s="22" t="str">
        <f t="shared" si="130"/>
        <v>190000</v>
      </c>
    </row>
    <row r="353" spans="2:24">
      <c r="B353" s="22"/>
      <c r="C353" s="22"/>
      <c r="D353" s="77"/>
      <c r="E353" s="54"/>
      <c r="F353" s="77"/>
      <c r="G353" s="77"/>
      <c r="H353" s="78"/>
      <c r="I353" s="54"/>
      <c r="J353" s="39"/>
      <c r="K353" s="54"/>
      <c r="P353" s="22">
        <f t="shared" si="125"/>
        <v>0</v>
      </c>
      <c r="Q353" s="22" t="str">
        <f t="shared" si="127"/>
        <v>00</v>
      </c>
      <c r="R353" s="22">
        <f t="shared" si="126"/>
        <v>0</v>
      </c>
      <c r="S353" s="22" t="str">
        <f t="shared" si="128"/>
        <v>00</v>
      </c>
      <c r="T353" s="22">
        <f t="shared" si="131"/>
        <v>1900</v>
      </c>
      <c r="U353" s="22">
        <f t="shared" si="131"/>
        <v>1900</v>
      </c>
      <c r="W353" s="22" t="str">
        <f t="shared" si="129"/>
        <v>190000</v>
      </c>
      <c r="X353" s="22" t="str">
        <f t="shared" si="130"/>
        <v>190000</v>
      </c>
    </row>
    <row r="354" spans="2:24">
      <c r="B354" s="22"/>
      <c r="C354" s="22"/>
      <c r="D354" s="77"/>
      <c r="E354" s="54"/>
      <c r="F354" s="77"/>
      <c r="G354" s="77"/>
      <c r="H354" s="78"/>
      <c r="I354" s="54"/>
      <c r="J354" s="39"/>
      <c r="K354" s="54"/>
      <c r="P354" s="22">
        <f t="shared" si="125"/>
        <v>0</v>
      </c>
      <c r="Q354" s="22" t="str">
        <f t="shared" si="127"/>
        <v>00</v>
      </c>
      <c r="R354" s="22">
        <f t="shared" si="126"/>
        <v>0</v>
      </c>
      <c r="S354" s="22" t="str">
        <f t="shared" si="128"/>
        <v>00</v>
      </c>
      <c r="T354" s="22">
        <f t="shared" si="131"/>
        <v>1900</v>
      </c>
      <c r="U354" s="22">
        <f t="shared" si="131"/>
        <v>1900</v>
      </c>
      <c r="W354" s="22" t="str">
        <f t="shared" si="129"/>
        <v>190000</v>
      </c>
      <c r="X354" s="22" t="str">
        <f t="shared" si="130"/>
        <v>190000</v>
      </c>
    </row>
    <row r="355" spans="2:24">
      <c r="B355" s="22"/>
      <c r="C355" s="22"/>
      <c r="D355" s="77"/>
      <c r="E355" s="54"/>
      <c r="F355" s="77"/>
      <c r="G355" s="77"/>
      <c r="H355" s="78"/>
      <c r="I355" s="54"/>
      <c r="J355" s="39"/>
      <c r="K355" s="54"/>
      <c r="P355" s="22">
        <f t="shared" si="125"/>
        <v>0</v>
      </c>
      <c r="Q355" s="22" t="str">
        <f t="shared" si="127"/>
        <v>00</v>
      </c>
      <c r="R355" s="22">
        <f t="shared" si="126"/>
        <v>0</v>
      </c>
      <c r="S355" s="22" t="str">
        <f t="shared" si="128"/>
        <v>00</v>
      </c>
      <c r="T355" s="22">
        <f t="shared" si="131"/>
        <v>1900</v>
      </c>
      <c r="U355" s="22">
        <f t="shared" si="131"/>
        <v>1900</v>
      </c>
      <c r="W355" s="22" t="str">
        <f t="shared" si="129"/>
        <v>190000</v>
      </c>
      <c r="X355" s="22" t="str">
        <f t="shared" si="130"/>
        <v>190000</v>
      </c>
    </row>
    <row r="356" spans="2:24">
      <c r="B356" s="22"/>
      <c r="C356" s="22"/>
      <c r="D356" s="77"/>
      <c r="E356" s="54"/>
      <c r="F356" s="77"/>
      <c r="G356" s="77"/>
      <c r="H356" s="78"/>
      <c r="I356" s="54"/>
      <c r="J356" s="39"/>
      <c r="K356" s="54"/>
      <c r="P356" s="22">
        <f t="shared" si="125"/>
        <v>0</v>
      </c>
      <c r="Q356" s="22" t="str">
        <f t="shared" si="127"/>
        <v>00</v>
      </c>
      <c r="R356" s="22">
        <f t="shared" si="126"/>
        <v>0</v>
      </c>
      <c r="S356" s="22" t="str">
        <f t="shared" si="128"/>
        <v>00</v>
      </c>
      <c r="T356" s="22">
        <f t="shared" si="131"/>
        <v>1900</v>
      </c>
      <c r="U356" s="22">
        <f t="shared" si="131"/>
        <v>1900</v>
      </c>
      <c r="W356" s="22" t="str">
        <f t="shared" si="129"/>
        <v>190000</v>
      </c>
      <c r="X356" s="22" t="str">
        <f t="shared" si="130"/>
        <v>190000</v>
      </c>
    </row>
    <row r="357" spans="2:24">
      <c r="B357" s="22"/>
      <c r="C357" s="22"/>
      <c r="D357" s="77"/>
      <c r="E357" s="54"/>
      <c r="F357" s="77"/>
      <c r="G357" s="77"/>
      <c r="H357" s="78"/>
      <c r="I357" s="54"/>
      <c r="J357" s="39"/>
      <c r="K357" s="54"/>
      <c r="P357" s="22">
        <f t="shared" si="125"/>
        <v>0</v>
      </c>
      <c r="Q357" s="22" t="str">
        <f t="shared" si="127"/>
        <v>00</v>
      </c>
      <c r="R357" s="22">
        <f t="shared" si="126"/>
        <v>0</v>
      </c>
      <c r="S357" s="22" t="str">
        <f t="shared" si="128"/>
        <v>00</v>
      </c>
      <c r="T357" s="22">
        <f t="shared" si="131"/>
        <v>1900</v>
      </c>
      <c r="U357" s="22">
        <f t="shared" si="131"/>
        <v>1900</v>
      </c>
      <c r="W357" s="22" t="str">
        <f t="shared" si="129"/>
        <v>190000</v>
      </c>
      <c r="X357" s="22" t="str">
        <f t="shared" si="130"/>
        <v>190000</v>
      </c>
    </row>
    <row r="358" spans="2:24">
      <c r="B358" s="22"/>
      <c r="C358" s="22"/>
      <c r="D358" s="77"/>
      <c r="E358" s="54"/>
      <c r="F358" s="77"/>
      <c r="G358" s="77"/>
      <c r="H358" s="78"/>
      <c r="I358" s="54"/>
      <c r="J358" s="39"/>
      <c r="K358" s="54"/>
      <c r="P358" s="22">
        <f t="shared" si="125"/>
        <v>0</v>
      </c>
      <c r="Q358" s="22" t="str">
        <f t="shared" si="127"/>
        <v>00</v>
      </c>
      <c r="R358" s="22">
        <f t="shared" si="126"/>
        <v>0</v>
      </c>
      <c r="S358" s="22" t="str">
        <f t="shared" si="128"/>
        <v>00</v>
      </c>
      <c r="T358" s="22">
        <f t="shared" si="131"/>
        <v>1900</v>
      </c>
      <c r="U358" s="22">
        <f t="shared" si="131"/>
        <v>1900</v>
      </c>
      <c r="W358" s="22" t="str">
        <f t="shared" si="129"/>
        <v>190000</v>
      </c>
      <c r="X358" s="22" t="str">
        <f t="shared" si="130"/>
        <v>190000</v>
      </c>
    </row>
    <row r="359" spans="2:24">
      <c r="B359" s="22"/>
      <c r="C359" s="22"/>
      <c r="D359" s="77"/>
      <c r="E359" s="54"/>
      <c r="F359" s="77"/>
      <c r="G359" s="77"/>
      <c r="H359" s="78"/>
      <c r="I359" s="54"/>
      <c r="J359" s="39"/>
      <c r="K359" s="54"/>
      <c r="P359" s="22">
        <f t="shared" si="125"/>
        <v>0</v>
      </c>
      <c r="Q359" s="22" t="str">
        <f t="shared" si="127"/>
        <v>00</v>
      </c>
      <c r="R359" s="22">
        <f t="shared" si="126"/>
        <v>0</v>
      </c>
      <c r="S359" s="22" t="str">
        <f t="shared" si="128"/>
        <v>00</v>
      </c>
      <c r="T359" s="22">
        <f t="shared" si="131"/>
        <v>1900</v>
      </c>
      <c r="U359" s="22">
        <f t="shared" si="131"/>
        <v>1900</v>
      </c>
      <c r="W359" s="22" t="str">
        <f t="shared" si="129"/>
        <v>190000</v>
      </c>
      <c r="X359" s="22" t="str">
        <f t="shared" si="130"/>
        <v>190000</v>
      </c>
    </row>
    <row r="360" spans="2:24">
      <c r="B360" s="22"/>
      <c r="C360" s="22"/>
      <c r="D360" s="77"/>
      <c r="E360" s="54"/>
      <c r="F360" s="77"/>
      <c r="G360" s="77"/>
      <c r="H360" s="78"/>
      <c r="I360" s="54"/>
      <c r="J360" s="39"/>
      <c r="K360" s="54"/>
      <c r="P360" s="22">
        <f t="shared" si="125"/>
        <v>0</v>
      </c>
      <c r="Q360" s="22" t="str">
        <f t="shared" si="127"/>
        <v>00</v>
      </c>
      <c r="R360" s="22">
        <f t="shared" si="126"/>
        <v>0</v>
      </c>
      <c r="S360" s="22" t="str">
        <f t="shared" si="128"/>
        <v>00</v>
      </c>
      <c r="T360" s="22">
        <f t="shared" si="131"/>
        <v>1900</v>
      </c>
      <c r="U360" s="22">
        <f t="shared" si="131"/>
        <v>1900</v>
      </c>
      <c r="W360" s="22" t="str">
        <f t="shared" si="129"/>
        <v>190000</v>
      </c>
      <c r="X360" s="22" t="str">
        <f t="shared" si="130"/>
        <v>190000</v>
      </c>
    </row>
    <row r="361" spans="2:24">
      <c r="B361" s="22"/>
      <c r="C361" s="22"/>
      <c r="D361" s="77"/>
      <c r="E361" s="54"/>
      <c r="F361" s="77"/>
      <c r="G361" s="77"/>
      <c r="H361" s="78"/>
      <c r="I361" s="54"/>
      <c r="J361" s="39"/>
      <c r="K361" s="54"/>
      <c r="P361" s="22">
        <f t="shared" si="125"/>
        <v>0</v>
      </c>
      <c r="Q361" s="22" t="str">
        <f t="shared" si="127"/>
        <v>00</v>
      </c>
      <c r="R361" s="22">
        <f t="shared" si="126"/>
        <v>0</v>
      </c>
      <c r="S361" s="22" t="str">
        <f t="shared" si="128"/>
        <v>00</v>
      </c>
      <c r="T361" s="22">
        <f t="shared" si="131"/>
        <v>1900</v>
      </c>
      <c r="U361" s="22">
        <f t="shared" si="131"/>
        <v>1900</v>
      </c>
      <c r="W361" s="22" t="str">
        <f t="shared" si="129"/>
        <v>190000</v>
      </c>
      <c r="X361" s="22" t="str">
        <f t="shared" si="130"/>
        <v>190000</v>
      </c>
    </row>
    <row r="362" spans="2:24">
      <c r="B362" s="22"/>
      <c r="C362" s="22"/>
      <c r="D362" s="77"/>
      <c r="E362" s="54"/>
      <c r="F362" s="77"/>
      <c r="G362" s="77"/>
      <c r="H362" s="78"/>
      <c r="I362" s="54"/>
      <c r="J362" s="39"/>
      <c r="K362" s="54"/>
      <c r="P362" s="22">
        <f t="shared" si="125"/>
        <v>0</v>
      </c>
      <c r="Q362" s="22" t="str">
        <f t="shared" si="127"/>
        <v>00</v>
      </c>
      <c r="R362" s="22">
        <f t="shared" si="126"/>
        <v>0</v>
      </c>
      <c r="S362" s="22" t="str">
        <f t="shared" si="128"/>
        <v>00</v>
      </c>
      <c r="T362" s="22">
        <f t="shared" si="131"/>
        <v>1900</v>
      </c>
      <c r="U362" s="22">
        <f t="shared" si="131"/>
        <v>1900</v>
      </c>
      <c r="W362" s="22" t="str">
        <f t="shared" si="129"/>
        <v>190000</v>
      </c>
      <c r="X362" s="22" t="str">
        <f t="shared" si="130"/>
        <v>190000</v>
      </c>
    </row>
    <row r="363" spans="2:24">
      <c r="B363" s="22"/>
      <c r="C363" s="22"/>
      <c r="D363" s="77"/>
      <c r="E363" s="54"/>
      <c r="F363" s="77"/>
      <c r="G363" s="77"/>
      <c r="H363" s="78"/>
      <c r="I363" s="54"/>
      <c r="J363" s="39"/>
      <c r="K363" s="54"/>
      <c r="P363" s="22">
        <f t="shared" si="125"/>
        <v>0</v>
      </c>
      <c r="Q363" s="22" t="str">
        <f t="shared" si="127"/>
        <v>00</v>
      </c>
      <c r="R363" s="22">
        <f t="shared" si="126"/>
        <v>0</v>
      </c>
      <c r="S363" s="22" t="str">
        <f t="shared" si="128"/>
        <v>00</v>
      </c>
      <c r="T363" s="22">
        <f t="shared" si="131"/>
        <v>1900</v>
      </c>
      <c r="U363" s="22">
        <f t="shared" si="131"/>
        <v>1900</v>
      </c>
      <c r="W363" s="22" t="str">
        <f t="shared" si="129"/>
        <v>190000</v>
      </c>
      <c r="X363" s="22" t="str">
        <f t="shared" si="130"/>
        <v>190000</v>
      </c>
    </row>
    <row r="364" spans="2:24">
      <c r="B364" s="22"/>
      <c r="C364" s="22"/>
      <c r="D364" s="77"/>
      <c r="E364" s="54"/>
      <c r="F364" s="77"/>
      <c r="G364" s="77"/>
      <c r="H364" s="78"/>
      <c r="I364" s="54"/>
      <c r="J364" s="39"/>
      <c r="K364" s="54"/>
      <c r="P364" s="22">
        <f t="shared" si="125"/>
        <v>0</v>
      </c>
      <c r="Q364" s="22" t="str">
        <f t="shared" si="127"/>
        <v>00</v>
      </c>
      <c r="R364" s="22">
        <f t="shared" si="126"/>
        <v>0</v>
      </c>
      <c r="S364" s="22" t="str">
        <f t="shared" si="128"/>
        <v>00</v>
      </c>
      <c r="T364" s="22">
        <f t="shared" si="131"/>
        <v>1900</v>
      </c>
      <c r="U364" s="22">
        <f t="shared" si="131"/>
        <v>1900</v>
      </c>
      <c r="W364" s="22" t="str">
        <f t="shared" si="129"/>
        <v>190000</v>
      </c>
      <c r="X364" s="22" t="str">
        <f t="shared" si="130"/>
        <v>190000</v>
      </c>
    </row>
    <row r="365" spans="2:24">
      <c r="B365" s="22"/>
      <c r="C365" s="22"/>
      <c r="D365" s="77"/>
      <c r="E365" s="54"/>
      <c r="F365" s="77"/>
      <c r="G365" s="77"/>
      <c r="H365" s="78"/>
      <c r="I365" s="54"/>
      <c r="J365" s="39"/>
      <c r="K365" s="54"/>
      <c r="P365" s="22">
        <f t="shared" si="125"/>
        <v>0</v>
      </c>
      <c r="Q365" s="22" t="str">
        <f t="shared" si="127"/>
        <v>00</v>
      </c>
      <c r="R365" s="22">
        <f t="shared" si="126"/>
        <v>0</v>
      </c>
      <c r="S365" s="22" t="str">
        <f t="shared" si="128"/>
        <v>00</v>
      </c>
      <c r="T365" s="22">
        <f t="shared" si="131"/>
        <v>1900</v>
      </c>
      <c r="U365" s="22">
        <f t="shared" si="131"/>
        <v>1900</v>
      </c>
      <c r="W365" s="22" t="str">
        <f t="shared" si="129"/>
        <v>190000</v>
      </c>
      <c r="X365" s="22" t="str">
        <f t="shared" si="130"/>
        <v>190000</v>
      </c>
    </row>
    <row r="366" spans="2:24">
      <c r="B366" s="22"/>
      <c r="C366" s="22"/>
      <c r="D366" s="77"/>
      <c r="E366" s="54"/>
      <c r="F366" s="77"/>
      <c r="G366" s="77"/>
      <c r="H366" s="78"/>
      <c r="I366" s="54"/>
      <c r="J366" s="39"/>
      <c r="K366" s="54"/>
      <c r="P366" s="22">
        <f t="shared" si="125"/>
        <v>0</v>
      </c>
      <c r="Q366" s="22" t="str">
        <f t="shared" si="127"/>
        <v>00</v>
      </c>
      <c r="R366" s="22">
        <f t="shared" si="126"/>
        <v>0</v>
      </c>
      <c r="S366" s="22" t="str">
        <f t="shared" si="128"/>
        <v>00</v>
      </c>
      <c r="T366" s="22">
        <f t="shared" si="131"/>
        <v>1900</v>
      </c>
      <c r="U366" s="22">
        <f t="shared" si="131"/>
        <v>1900</v>
      </c>
      <c r="W366" s="22" t="str">
        <f t="shared" si="129"/>
        <v>190000</v>
      </c>
      <c r="X366" s="22" t="str">
        <f t="shared" si="130"/>
        <v>190000</v>
      </c>
    </row>
    <row r="367" spans="2:24">
      <c r="B367" s="22"/>
      <c r="C367" s="22"/>
      <c r="D367" s="77"/>
      <c r="E367" s="54"/>
      <c r="F367" s="77"/>
      <c r="G367" s="77"/>
      <c r="H367" s="78"/>
      <c r="I367" s="54"/>
      <c r="J367" s="39"/>
      <c r="K367" s="54"/>
      <c r="P367" s="22">
        <f t="shared" si="125"/>
        <v>0</v>
      </c>
      <c r="Q367" s="22" t="str">
        <f t="shared" si="127"/>
        <v>00</v>
      </c>
      <c r="R367" s="22">
        <f t="shared" si="126"/>
        <v>0</v>
      </c>
      <c r="S367" s="22" t="str">
        <f t="shared" si="128"/>
        <v>00</v>
      </c>
      <c r="T367" s="22">
        <f t="shared" si="131"/>
        <v>1900</v>
      </c>
      <c r="U367" s="22">
        <f t="shared" si="131"/>
        <v>1900</v>
      </c>
      <c r="W367" s="22" t="str">
        <f t="shared" si="129"/>
        <v>190000</v>
      </c>
      <c r="X367" s="22" t="str">
        <f t="shared" si="130"/>
        <v>190000</v>
      </c>
    </row>
    <row r="368" spans="2:24">
      <c r="B368" s="22"/>
      <c r="C368" s="22"/>
      <c r="D368" s="77"/>
      <c r="E368" s="54"/>
      <c r="F368" s="77"/>
      <c r="G368" s="77"/>
      <c r="H368" s="78"/>
      <c r="I368" s="54"/>
      <c r="J368" s="39"/>
      <c r="K368" s="54"/>
      <c r="P368" s="22">
        <f t="shared" si="125"/>
        <v>0</v>
      </c>
      <c r="Q368" s="22" t="str">
        <f t="shared" si="127"/>
        <v>00</v>
      </c>
      <c r="R368" s="22">
        <f t="shared" si="126"/>
        <v>0</v>
      </c>
      <c r="S368" s="22" t="str">
        <f t="shared" si="128"/>
        <v>00</v>
      </c>
      <c r="T368" s="22">
        <f t="shared" si="131"/>
        <v>1900</v>
      </c>
      <c r="U368" s="22">
        <f t="shared" si="131"/>
        <v>1900</v>
      </c>
      <c r="W368" s="22" t="str">
        <f t="shared" si="129"/>
        <v>190000</v>
      </c>
      <c r="X368" s="22" t="str">
        <f t="shared" si="130"/>
        <v>190000</v>
      </c>
    </row>
    <row r="369" spans="2:24">
      <c r="B369" s="22"/>
      <c r="C369" s="22"/>
      <c r="D369" s="77"/>
      <c r="E369" s="54"/>
      <c r="F369" s="77"/>
      <c r="G369" s="77"/>
      <c r="H369" s="78"/>
      <c r="I369" s="54"/>
      <c r="J369" s="39"/>
      <c r="K369" s="54"/>
      <c r="P369" s="22">
        <f t="shared" si="125"/>
        <v>0</v>
      </c>
      <c r="Q369" s="22" t="str">
        <f t="shared" si="127"/>
        <v>00</v>
      </c>
      <c r="R369" s="22">
        <f t="shared" si="126"/>
        <v>0</v>
      </c>
      <c r="S369" s="22" t="str">
        <f t="shared" si="128"/>
        <v>00</v>
      </c>
      <c r="T369" s="22">
        <f t="shared" si="131"/>
        <v>1900</v>
      </c>
      <c r="U369" s="22">
        <f t="shared" si="131"/>
        <v>1900</v>
      </c>
      <c r="W369" s="22" t="str">
        <f t="shared" si="129"/>
        <v>190000</v>
      </c>
      <c r="X369" s="22" t="str">
        <f t="shared" si="130"/>
        <v>190000</v>
      </c>
    </row>
    <row r="370" spans="2:24">
      <c r="B370" s="22"/>
      <c r="C370" s="22"/>
      <c r="D370" s="77"/>
      <c r="E370" s="54"/>
      <c r="F370" s="77"/>
      <c r="G370" s="77"/>
      <c r="H370" s="78"/>
      <c r="I370" s="54"/>
      <c r="J370" s="39"/>
      <c r="K370" s="54"/>
      <c r="P370" s="22">
        <f t="shared" si="125"/>
        <v>0</v>
      </c>
      <c r="Q370" s="22" t="str">
        <f t="shared" si="127"/>
        <v>00</v>
      </c>
      <c r="R370" s="22">
        <f t="shared" si="126"/>
        <v>0</v>
      </c>
      <c r="S370" s="22" t="str">
        <f t="shared" si="128"/>
        <v>00</v>
      </c>
      <c r="T370" s="22">
        <f t="shared" si="131"/>
        <v>1900</v>
      </c>
      <c r="U370" s="22">
        <f t="shared" si="131"/>
        <v>1900</v>
      </c>
      <c r="W370" s="22" t="str">
        <f t="shared" si="129"/>
        <v>190000</v>
      </c>
      <c r="X370" s="22" t="str">
        <f t="shared" si="130"/>
        <v>190000</v>
      </c>
    </row>
    <row r="371" spans="2:24">
      <c r="B371" s="22"/>
      <c r="C371" s="22"/>
      <c r="D371" s="77"/>
      <c r="E371" s="54"/>
      <c r="F371" s="77"/>
      <c r="G371" s="77"/>
      <c r="H371" s="78"/>
      <c r="I371" s="54"/>
      <c r="J371" s="39"/>
      <c r="K371" s="54"/>
      <c r="P371" s="22">
        <f t="shared" si="125"/>
        <v>0</v>
      </c>
      <c r="Q371" s="22" t="str">
        <f t="shared" si="127"/>
        <v>00</v>
      </c>
      <c r="R371" s="22">
        <f t="shared" si="126"/>
        <v>0</v>
      </c>
      <c r="S371" s="22" t="str">
        <f t="shared" si="128"/>
        <v>00</v>
      </c>
      <c r="T371" s="22">
        <f t="shared" si="131"/>
        <v>1900</v>
      </c>
      <c r="U371" s="22">
        <f t="shared" si="131"/>
        <v>1900</v>
      </c>
      <c r="W371" s="22" t="str">
        <f t="shared" si="129"/>
        <v>190000</v>
      </c>
      <c r="X371" s="22" t="str">
        <f t="shared" si="130"/>
        <v>190000</v>
      </c>
    </row>
    <row r="372" spans="2:24">
      <c r="B372" s="22"/>
      <c r="C372" s="22"/>
      <c r="D372" s="77"/>
      <c r="E372" s="54"/>
      <c r="F372" s="77"/>
      <c r="G372" s="77"/>
      <c r="H372" s="78"/>
      <c r="I372" s="54"/>
      <c r="J372" s="39"/>
      <c r="K372" s="54"/>
      <c r="P372" s="22">
        <f t="shared" si="125"/>
        <v>0</v>
      </c>
      <c r="Q372" s="22" t="str">
        <f t="shared" si="127"/>
        <v>00</v>
      </c>
      <c r="R372" s="22">
        <f t="shared" si="126"/>
        <v>0</v>
      </c>
      <c r="S372" s="22" t="str">
        <f t="shared" si="128"/>
        <v>00</v>
      </c>
      <c r="T372" s="22">
        <f t="shared" si="131"/>
        <v>1900</v>
      </c>
      <c r="U372" s="22">
        <f t="shared" si="131"/>
        <v>1900</v>
      </c>
      <c r="W372" s="22" t="str">
        <f t="shared" si="129"/>
        <v>190000</v>
      </c>
      <c r="X372" s="22" t="str">
        <f t="shared" si="130"/>
        <v>190000</v>
      </c>
    </row>
    <row r="373" spans="2:24">
      <c r="B373" s="22"/>
      <c r="C373" s="22"/>
      <c r="D373" s="77"/>
      <c r="E373" s="54"/>
      <c r="F373" s="77"/>
      <c r="G373" s="77"/>
      <c r="H373" s="78"/>
      <c r="I373" s="54"/>
      <c r="J373" s="39"/>
      <c r="K373" s="54"/>
      <c r="P373" s="22">
        <f t="shared" si="125"/>
        <v>0</v>
      </c>
      <c r="Q373" s="22" t="str">
        <f t="shared" si="127"/>
        <v>00</v>
      </c>
      <c r="R373" s="22">
        <f t="shared" si="126"/>
        <v>0</v>
      </c>
      <c r="S373" s="22" t="str">
        <f t="shared" si="128"/>
        <v>00</v>
      </c>
      <c r="T373" s="22">
        <f t="shared" si="131"/>
        <v>1900</v>
      </c>
      <c r="U373" s="22">
        <f t="shared" si="131"/>
        <v>1900</v>
      </c>
      <c r="W373" s="22" t="str">
        <f t="shared" si="129"/>
        <v>190000</v>
      </c>
      <c r="X373" s="22" t="str">
        <f t="shared" si="130"/>
        <v>190000</v>
      </c>
    </row>
    <row r="374" spans="2:24">
      <c r="B374" s="22"/>
      <c r="C374" s="22"/>
      <c r="D374" s="77"/>
      <c r="E374" s="54"/>
      <c r="F374" s="77"/>
      <c r="G374" s="77"/>
      <c r="H374" s="78"/>
      <c r="I374" s="54"/>
      <c r="J374" s="39"/>
      <c r="K374" s="54"/>
      <c r="P374" s="22">
        <f t="shared" si="125"/>
        <v>0</v>
      </c>
      <c r="Q374" s="22" t="str">
        <f t="shared" si="127"/>
        <v>00</v>
      </c>
      <c r="R374" s="22">
        <f t="shared" si="126"/>
        <v>0</v>
      </c>
      <c r="S374" s="22" t="str">
        <f t="shared" si="128"/>
        <v>00</v>
      </c>
      <c r="T374" s="22">
        <f t="shared" si="131"/>
        <v>1900</v>
      </c>
      <c r="U374" s="22">
        <f t="shared" si="131"/>
        <v>1900</v>
      </c>
      <c r="W374" s="22" t="str">
        <f t="shared" si="129"/>
        <v>190000</v>
      </c>
      <c r="X374" s="22" t="str">
        <f t="shared" si="130"/>
        <v>190000</v>
      </c>
    </row>
    <row r="375" spans="2:24">
      <c r="B375" s="22"/>
      <c r="C375" s="22"/>
      <c r="D375" s="77"/>
      <c r="E375" s="54"/>
      <c r="F375" s="77"/>
      <c r="G375" s="77"/>
      <c r="H375" s="78"/>
      <c r="I375" s="54"/>
      <c r="J375" s="39"/>
      <c r="K375" s="54"/>
      <c r="P375" s="22">
        <f t="shared" si="125"/>
        <v>0</v>
      </c>
      <c r="Q375" s="22" t="str">
        <f t="shared" si="127"/>
        <v>00</v>
      </c>
      <c r="R375" s="22">
        <f t="shared" si="126"/>
        <v>0</v>
      </c>
      <c r="S375" s="22" t="str">
        <f t="shared" si="128"/>
        <v>00</v>
      </c>
      <c r="T375" s="22">
        <f t="shared" si="131"/>
        <v>1900</v>
      </c>
      <c r="U375" s="22">
        <f t="shared" si="131"/>
        <v>1900</v>
      </c>
      <c r="W375" s="22" t="str">
        <f t="shared" si="129"/>
        <v>190000</v>
      </c>
      <c r="X375" s="22" t="str">
        <f t="shared" si="130"/>
        <v>190000</v>
      </c>
    </row>
    <row r="376" spans="2:24">
      <c r="B376" s="22"/>
      <c r="C376" s="22"/>
      <c r="D376" s="77"/>
      <c r="E376" s="54"/>
      <c r="F376" s="77"/>
      <c r="G376" s="77"/>
      <c r="H376" s="78"/>
      <c r="I376" s="54"/>
      <c r="J376" s="39"/>
      <c r="K376" s="54"/>
      <c r="P376" s="22">
        <f t="shared" si="125"/>
        <v>0</v>
      </c>
      <c r="Q376" s="22" t="str">
        <f t="shared" si="127"/>
        <v>00</v>
      </c>
      <c r="R376" s="22">
        <f t="shared" si="126"/>
        <v>0</v>
      </c>
      <c r="S376" s="22" t="str">
        <f t="shared" si="128"/>
        <v>00</v>
      </c>
      <c r="T376" s="22">
        <f t="shared" si="131"/>
        <v>1900</v>
      </c>
      <c r="U376" s="22">
        <f t="shared" si="131"/>
        <v>1900</v>
      </c>
      <c r="W376" s="22" t="str">
        <f t="shared" si="129"/>
        <v>190000</v>
      </c>
      <c r="X376" s="22" t="str">
        <f t="shared" si="130"/>
        <v>190000</v>
      </c>
    </row>
    <row r="377" spans="2:24">
      <c r="B377" s="22"/>
      <c r="C377" s="22"/>
      <c r="D377" s="77"/>
      <c r="E377" s="54"/>
      <c r="F377" s="77"/>
      <c r="G377" s="77"/>
      <c r="H377" s="78"/>
      <c r="I377" s="54"/>
      <c r="J377" s="39"/>
      <c r="K377" s="54"/>
      <c r="P377" s="22">
        <f t="shared" si="125"/>
        <v>0</v>
      </c>
      <c r="Q377" s="22" t="str">
        <f t="shared" si="127"/>
        <v>00</v>
      </c>
      <c r="R377" s="22">
        <f t="shared" si="126"/>
        <v>0</v>
      </c>
      <c r="S377" s="22" t="str">
        <f t="shared" si="128"/>
        <v>00</v>
      </c>
      <c r="T377" s="22">
        <f t="shared" si="131"/>
        <v>1900</v>
      </c>
      <c r="U377" s="22">
        <f t="shared" si="131"/>
        <v>1900</v>
      </c>
      <c r="W377" s="22" t="str">
        <f t="shared" si="129"/>
        <v>190000</v>
      </c>
      <c r="X377" s="22" t="str">
        <f t="shared" si="130"/>
        <v>190000</v>
      </c>
    </row>
    <row r="378" spans="2:24">
      <c r="B378" s="22"/>
      <c r="C378" s="22"/>
      <c r="D378" s="77"/>
      <c r="E378" s="54"/>
      <c r="F378" s="77"/>
      <c r="G378" s="77"/>
      <c r="H378" s="78"/>
      <c r="I378" s="54"/>
      <c r="J378" s="39"/>
      <c r="K378" s="54"/>
      <c r="P378" s="22">
        <f t="shared" si="125"/>
        <v>0</v>
      </c>
      <c r="Q378" s="22" t="str">
        <f t="shared" si="127"/>
        <v>00</v>
      </c>
      <c r="R378" s="22">
        <f t="shared" si="126"/>
        <v>0</v>
      </c>
      <c r="S378" s="22" t="str">
        <f t="shared" si="128"/>
        <v>00</v>
      </c>
      <c r="T378" s="22">
        <f t="shared" si="131"/>
        <v>1900</v>
      </c>
      <c r="U378" s="22">
        <f t="shared" si="131"/>
        <v>1900</v>
      </c>
      <c r="W378" s="22" t="str">
        <f t="shared" si="129"/>
        <v>190000</v>
      </c>
      <c r="X378" s="22" t="str">
        <f t="shared" si="130"/>
        <v>190000</v>
      </c>
    </row>
    <row r="379" spans="2:24">
      <c r="B379" s="22"/>
      <c r="C379" s="22"/>
      <c r="D379" s="77"/>
      <c r="E379" s="54"/>
      <c r="F379" s="77"/>
      <c r="G379" s="77"/>
      <c r="H379" s="78"/>
      <c r="I379" s="54"/>
      <c r="J379" s="39"/>
      <c r="K379" s="54"/>
      <c r="P379" s="22">
        <f t="shared" si="125"/>
        <v>0</v>
      </c>
      <c r="Q379" s="22" t="str">
        <f t="shared" si="127"/>
        <v>00</v>
      </c>
      <c r="R379" s="22">
        <f t="shared" si="126"/>
        <v>0</v>
      </c>
      <c r="S379" s="22" t="str">
        <f t="shared" si="128"/>
        <v>00</v>
      </c>
      <c r="T379" s="22">
        <f t="shared" si="131"/>
        <v>1900</v>
      </c>
      <c r="U379" s="22">
        <f t="shared" si="131"/>
        <v>1900</v>
      </c>
      <c r="W379" s="22" t="str">
        <f t="shared" si="129"/>
        <v>190000</v>
      </c>
      <c r="X379" s="22" t="str">
        <f t="shared" si="130"/>
        <v>190000</v>
      </c>
    </row>
    <row r="380" spans="2:24">
      <c r="B380" s="22"/>
      <c r="C380" s="22"/>
      <c r="D380" s="77"/>
      <c r="E380" s="54"/>
      <c r="F380" s="77"/>
      <c r="G380" s="77"/>
      <c r="H380" s="78"/>
      <c r="I380" s="54"/>
      <c r="J380" s="39"/>
      <c r="K380" s="54"/>
      <c r="P380" s="22">
        <f t="shared" si="125"/>
        <v>0</v>
      </c>
      <c r="Q380" s="22" t="str">
        <f t="shared" si="127"/>
        <v>00</v>
      </c>
      <c r="R380" s="22">
        <f t="shared" si="126"/>
        <v>0</v>
      </c>
      <c r="S380" s="22" t="str">
        <f t="shared" si="128"/>
        <v>00</v>
      </c>
      <c r="T380" s="22">
        <f t="shared" si="131"/>
        <v>1900</v>
      </c>
      <c r="U380" s="22">
        <f t="shared" si="131"/>
        <v>1900</v>
      </c>
      <c r="W380" s="22" t="str">
        <f t="shared" si="129"/>
        <v>190000</v>
      </c>
      <c r="X380" s="22" t="str">
        <f t="shared" si="130"/>
        <v>190000</v>
      </c>
    </row>
    <row r="381" spans="2:24">
      <c r="B381" s="22"/>
      <c r="C381" s="22"/>
      <c r="D381" s="77"/>
      <c r="E381" s="54"/>
      <c r="F381" s="77"/>
      <c r="G381" s="77"/>
      <c r="H381" s="78"/>
      <c r="I381" s="54"/>
      <c r="J381" s="39"/>
      <c r="K381" s="54"/>
      <c r="P381" s="22">
        <f t="shared" si="125"/>
        <v>0</v>
      </c>
      <c r="Q381" s="22" t="str">
        <f t="shared" si="127"/>
        <v>00</v>
      </c>
      <c r="R381" s="22">
        <f t="shared" si="126"/>
        <v>0</v>
      </c>
      <c r="S381" s="22" t="str">
        <f t="shared" si="128"/>
        <v>00</v>
      </c>
      <c r="T381" s="22">
        <f t="shared" si="131"/>
        <v>1900</v>
      </c>
      <c r="U381" s="22">
        <f t="shared" si="131"/>
        <v>1900</v>
      </c>
      <c r="W381" s="22" t="str">
        <f t="shared" si="129"/>
        <v>190000</v>
      </c>
      <c r="X381" s="22" t="str">
        <f t="shared" si="130"/>
        <v>190000</v>
      </c>
    </row>
    <row r="382" spans="2:24">
      <c r="B382" s="22"/>
      <c r="C382" s="22"/>
      <c r="D382" s="77"/>
      <c r="E382" s="54"/>
      <c r="F382" s="77"/>
      <c r="G382" s="77"/>
      <c r="H382" s="78"/>
      <c r="I382" s="54"/>
      <c r="J382" s="39"/>
      <c r="K382" s="54"/>
      <c r="P382" s="22">
        <f t="shared" si="125"/>
        <v>0</v>
      </c>
      <c r="Q382" s="22" t="str">
        <f t="shared" si="127"/>
        <v>00</v>
      </c>
      <c r="R382" s="22">
        <f t="shared" si="126"/>
        <v>0</v>
      </c>
      <c r="S382" s="22" t="str">
        <f t="shared" si="128"/>
        <v>00</v>
      </c>
      <c r="T382" s="22">
        <f t="shared" si="131"/>
        <v>1900</v>
      </c>
      <c r="U382" s="22">
        <f t="shared" si="131"/>
        <v>1900</v>
      </c>
      <c r="W382" s="22" t="str">
        <f t="shared" si="129"/>
        <v>190000</v>
      </c>
      <c r="X382" s="22" t="str">
        <f t="shared" si="130"/>
        <v>190000</v>
      </c>
    </row>
    <row r="383" spans="2:24">
      <c r="B383" s="22"/>
      <c r="C383" s="22"/>
      <c r="D383" s="77"/>
      <c r="E383" s="54"/>
      <c r="F383" s="77"/>
      <c r="G383" s="77"/>
      <c r="H383" s="78"/>
      <c r="I383" s="54"/>
      <c r="J383" s="39"/>
      <c r="K383" s="54"/>
      <c r="P383" s="22">
        <f t="shared" si="125"/>
        <v>0</v>
      </c>
      <c r="Q383" s="22" t="str">
        <f t="shared" si="127"/>
        <v>00</v>
      </c>
      <c r="R383" s="22">
        <f t="shared" si="126"/>
        <v>0</v>
      </c>
      <c r="S383" s="22" t="str">
        <f t="shared" si="128"/>
        <v>00</v>
      </c>
      <c r="T383" s="22">
        <f t="shared" si="131"/>
        <v>1900</v>
      </c>
      <c r="U383" s="22">
        <f t="shared" si="131"/>
        <v>1900</v>
      </c>
      <c r="W383" s="22" t="str">
        <f t="shared" si="129"/>
        <v>190000</v>
      </c>
      <c r="X383" s="22" t="str">
        <f t="shared" si="130"/>
        <v>190000</v>
      </c>
    </row>
    <row r="384" spans="2:24">
      <c r="B384" s="22"/>
      <c r="C384" s="22"/>
      <c r="D384" s="77"/>
      <c r="E384" s="54"/>
      <c r="F384" s="77"/>
      <c r="G384" s="77"/>
      <c r="H384" s="78"/>
      <c r="I384" s="54"/>
      <c r="J384" s="39"/>
      <c r="K384" s="54"/>
      <c r="P384" s="22">
        <f t="shared" ref="P384:P447" si="132">WEEKNUM(F384,2)-1</f>
        <v>0</v>
      </c>
      <c r="Q384" s="22" t="str">
        <f t="shared" si="127"/>
        <v>00</v>
      </c>
      <c r="R384" s="22">
        <f t="shared" ref="R384:R447" si="133">WEEKNUM(G384,2)-1</f>
        <v>0</v>
      </c>
      <c r="S384" s="22" t="str">
        <f t="shared" si="128"/>
        <v>00</v>
      </c>
      <c r="T384" s="22">
        <f t="shared" si="131"/>
        <v>1900</v>
      </c>
      <c r="U384" s="22">
        <f t="shared" si="131"/>
        <v>1900</v>
      </c>
      <c r="W384" s="22" t="str">
        <f t="shared" si="129"/>
        <v>190000</v>
      </c>
      <c r="X384" s="22" t="str">
        <f t="shared" si="130"/>
        <v>190000</v>
      </c>
    </row>
    <row r="385" spans="2:24">
      <c r="B385" s="22"/>
      <c r="C385" s="22"/>
      <c r="D385" s="77"/>
      <c r="E385" s="54"/>
      <c r="F385" s="77"/>
      <c r="G385" s="77"/>
      <c r="H385" s="78"/>
      <c r="I385" s="54"/>
      <c r="J385" s="39"/>
      <c r="K385" s="54"/>
      <c r="P385" s="22">
        <f t="shared" si="132"/>
        <v>0</v>
      </c>
      <c r="Q385" s="22" t="str">
        <f t="shared" si="127"/>
        <v>00</v>
      </c>
      <c r="R385" s="22">
        <f t="shared" si="133"/>
        <v>0</v>
      </c>
      <c r="S385" s="22" t="str">
        <f t="shared" si="128"/>
        <v>00</v>
      </c>
      <c r="T385" s="22">
        <f t="shared" si="131"/>
        <v>1900</v>
      </c>
      <c r="U385" s="22">
        <f t="shared" si="131"/>
        <v>1900</v>
      </c>
      <c r="W385" s="22" t="str">
        <f t="shared" si="129"/>
        <v>190000</v>
      </c>
      <c r="X385" s="22" t="str">
        <f t="shared" si="130"/>
        <v>190000</v>
      </c>
    </row>
    <row r="386" spans="2:24">
      <c r="B386" s="22"/>
      <c r="C386" s="22"/>
      <c r="D386" s="77"/>
      <c r="E386" s="54"/>
      <c r="F386" s="77"/>
      <c r="G386" s="77"/>
      <c r="H386" s="78"/>
      <c r="I386" s="54"/>
      <c r="J386" s="39"/>
      <c r="K386" s="54"/>
      <c r="P386" s="22">
        <f t="shared" si="132"/>
        <v>0</v>
      </c>
      <c r="Q386" s="22" t="str">
        <f t="shared" si="127"/>
        <v>00</v>
      </c>
      <c r="R386" s="22">
        <f t="shared" si="133"/>
        <v>0</v>
      </c>
      <c r="S386" s="22" t="str">
        <f t="shared" si="128"/>
        <v>00</v>
      </c>
      <c r="T386" s="22">
        <f t="shared" si="131"/>
        <v>1900</v>
      </c>
      <c r="U386" s="22">
        <f t="shared" si="131"/>
        <v>1900</v>
      </c>
      <c r="W386" s="22" t="str">
        <f t="shared" si="129"/>
        <v>190000</v>
      </c>
      <c r="X386" s="22" t="str">
        <f t="shared" si="130"/>
        <v>190000</v>
      </c>
    </row>
    <row r="387" spans="2:24">
      <c r="B387" s="22"/>
      <c r="C387" s="22"/>
      <c r="D387" s="77"/>
      <c r="E387" s="54"/>
      <c r="F387" s="77"/>
      <c r="G387" s="77"/>
      <c r="H387" s="78"/>
      <c r="I387" s="54"/>
      <c r="J387" s="39"/>
      <c r="K387" s="54"/>
      <c r="P387" s="22">
        <f t="shared" si="132"/>
        <v>0</v>
      </c>
      <c r="Q387" s="22" t="str">
        <f t="shared" ref="Q387:Q450" si="134">TEXT(P387,"00")</f>
        <v>00</v>
      </c>
      <c r="R387" s="22">
        <f t="shared" si="133"/>
        <v>0</v>
      </c>
      <c r="S387" s="22" t="str">
        <f t="shared" ref="S387:S450" si="135">TEXT(R387,"00")</f>
        <v>00</v>
      </c>
      <c r="T387" s="22">
        <f t="shared" si="131"/>
        <v>1900</v>
      </c>
      <c r="U387" s="22">
        <f t="shared" si="131"/>
        <v>1900</v>
      </c>
      <c r="W387" s="22" t="str">
        <f t="shared" ref="W387:W450" si="136">T387&amp;Q387</f>
        <v>190000</v>
      </c>
      <c r="X387" s="22" t="str">
        <f t="shared" ref="X387:X450" si="137">U387&amp;S387</f>
        <v>190000</v>
      </c>
    </row>
    <row r="388" spans="2:24">
      <c r="B388" s="22"/>
      <c r="C388" s="22"/>
      <c r="D388" s="77"/>
      <c r="E388" s="54"/>
      <c r="F388" s="77"/>
      <c r="G388" s="77"/>
      <c r="H388" s="78"/>
      <c r="I388" s="54"/>
      <c r="J388" s="39"/>
      <c r="K388" s="54"/>
      <c r="P388" s="22">
        <f t="shared" si="132"/>
        <v>0</v>
      </c>
      <c r="Q388" s="22" t="str">
        <f t="shared" si="134"/>
        <v>00</v>
      </c>
      <c r="R388" s="22">
        <f t="shared" si="133"/>
        <v>0</v>
      </c>
      <c r="S388" s="22" t="str">
        <f t="shared" si="135"/>
        <v>00</v>
      </c>
      <c r="T388" s="22">
        <f t="shared" si="131"/>
        <v>1900</v>
      </c>
      <c r="U388" s="22">
        <f t="shared" si="131"/>
        <v>1900</v>
      </c>
      <c r="W388" s="22" t="str">
        <f t="shared" si="136"/>
        <v>190000</v>
      </c>
      <c r="X388" s="22" t="str">
        <f t="shared" si="137"/>
        <v>190000</v>
      </c>
    </row>
    <row r="389" spans="2:24">
      <c r="B389" s="22"/>
      <c r="C389" s="22"/>
      <c r="D389" s="77"/>
      <c r="E389" s="54"/>
      <c r="F389" s="77"/>
      <c r="G389" s="77"/>
      <c r="H389" s="78"/>
      <c r="I389" s="54"/>
      <c r="J389" s="39"/>
      <c r="K389" s="54"/>
      <c r="P389" s="22">
        <f t="shared" si="132"/>
        <v>0</v>
      </c>
      <c r="Q389" s="22" t="str">
        <f t="shared" si="134"/>
        <v>00</v>
      </c>
      <c r="R389" s="22">
        <f t="shared" si="133"/>
        <v>0</v>
      </c>
      <c r="S389" s="22" t="str">
        <f t="shared" si="135"/>
        <v>00</v>
      </c>
      <c r="T389" s="22">
        <f t="shared" si="131"/>
        <v>1900</v>
      </c>
      <c r="U389" s="22">
        <f t="shared" si="131"/>
        <v>1900</v>
      </c>
      <c r="W389" s="22" t="str">
        <f t="shared" si="136"/>
        <v>190000</v>
      </c>
      <c r="X389" s="22" t="str">
        <f t="shared" si="137"/>
        <v>190000</v>
      </c>
    </row>
    <row r="390" spans="2:24">
      <c r="B390" s="22"/>
      <c r="C390" s="22"/>
      <c r="D390" s="77"/>
      <c r="E390" s="54"/>
      <c r="F390" s="77"/>
      <c r="G390" s="77"/>
      <c r="H390" s="78"/>
      <c r="I390" s="54"/>
      <c r="J390" s="39"/>
      <c r="K390" s="54"/>
      <c r="P390" s="22">
        <f t="shared" si="132"/>
        <v>0</v>
      </c>
      <c r="Q390" s="22" t="str">
        <f t="shared" si="134"/>
        <v>00</v>
      </c>
      <c r="R390" s="22">
        <f t="shared" si="133"/>
        <v>0</v>
      </c>
      <c r="S390" s="22" t="str">
        <f t="shared" si="135"/>
        <v>00</v>
      </c>
      <c r="T390" s="22">
        <f t="shared" si="131"/>
        <v>1900</v>
      </c>
      <c r="U390" s="22">
        <f t="shared" si="131"/>
        <v>1900</v>
      </c>
      <c r="W390" s="22" t="str">
        <f t="shared" si="136"/>
        <v>190000</v>
      </c>
      <c r="X390" s="22" t="str">
        <f t="shared" si="137"/>
        <v>190000</v>
      </c>
    </row>
    <row r="391" spans="2:24">
      <c r="B391" s="22"/>
      <c r="C391" s="22"/>
      <c r="D391" s="77"/>
      <c r="E391" s="54"/>
      <c r="F391" s="77"/>
      <c r="G391" s="77"/>
      <c r="H391" s="78"/>
      <c r="I391" s="54"/>
      <c r="J391" s="39"/>
      <c r="K391" s="54"/>
      <c r="P391" s="22">
        <f t="shared" si="132"/>
        <v>0</v>
      </c>
      <c r="Q391" s="22" t="str">
        <f t="shared" si="134"/>
        <v>00</v>
      </c>
      <c r="R391" s="22">
        <f t="shared" si="133"/>
        <v>0</v>
      </c>
      <c r="S391" s="22" t="str">
        <f t="shared" si="135"/>
        <v>00</v>
      </c>
      <c r="T391" s="22">
        <f t="shared" si="131"/>
        <v>1900</v>
      </c>
      <c r="U391" s="22">
        <f t="shared" si="131"/>
        <v>1900</v>
      </c>
      <c r="W391" s="22" t="str">
        <f t="shared" si="136"/>
        <v>190000</v>
      </c>
      <c r="X391" s="22" t="str">
        <f t="shared" si="137"/>
        <v>190000</v>
      </c>
    </row>
    <row r="392" spans="2:24">
      <c r="B392" s="22"/>
      <c r="C392" s="22"/>
      <c r="D392" s="77"/>
      <c r="E392" s="54"/>
      <c r="F392" s="77"/>
      <c r="G392" s="77"/>
      <c r="H392" s="78"/>
      <c r="I392" s="54"/>
      <c r="J392" s="39"/>
      <c r="K392" s="54"/>
      <c r="P392" s="22">
        <f t="shared" si="132"/>
        <v>0</v>
      </c>
      <c r="Q392" s="22" t="str">
        <f t="shared" si="134"/>
        <v>00</v>
      </c>
      <c r="R392" s="22">
        <f t="shared" si="133"/>
        <v>0</v>
      </c>
      <c r="S392" s="22" t="str">
        <f t="shared" si="135"/>
        <v>00</v>
      </c>
      <c r="T392" s="22">
        <f t="shared" si="131"/>
        <v>1900</v>
      </c>
      <c r="U392" s="22">
        <f t="shared" si="131"/>
        <v>1900</v>
      </c>
      <c r="W392" s="22" t="str">
        <f t="shared" si="136"/>
        <v>190000</v>
      </c>
      <c r="X392" s="22" t="str">
        <f t="shared" si="137"/>
        <v>190000</v>
      </c>
    </row>
    <row r="393" spans="2:24">
      <c r="B393" s="22"/>
      <c r="C393" s="22"/>
      <c r="D393" s="77"/>
      <c r="E393" s="54"/>
      <c r="F393" s="77"/>
      <c r="G393" s="77"/>
      <c r="H393" s="78"/>
      <c r="I393" s="54"/>
      <c r="J393" s="39"/>
      <c r="K393" s="54"/>
      <c r="P393" s="22">
        <f t="shared" si="132"/>
        <v>0</v>
      </c>
      <c r="Q393" s="22" t="str">
        <f t="shared" si="134"/>
        <v>00</v>
      </c>
      <c r="R393" s="22">
        <f t="shared" si="133"/>
        <v>0</v>
      </c>
      <c r="S393" s="22" t="str">
        <f t="shared" si="135"/>
        <v>00</v>
      </c>
      <c r="T393" s="22">
        <f t="shared" si="131"/>
        <v>1900</v>
      </c>
      <c r="U393" s="22">
        <f t="shared" si="131"/>
        <v>1900</v>
      </c>
      <c r="W393" s="22" t="str">
        <f t="shared" si="136"/>
        <v>190000</v>
      </c>
      <c r="X393" s="22" t="str">
        <f t="shared" si="137"/>
        <v>190000</v>
      </c>
    </row>
    <row r="394" spans="2:24">
      <c r="B394" s="22"/>
      <c r="C394" s="22"/>
      <c r="D394" s="77"/>
      <c r="E394" s="54"/>
      <c r="F394" s="77"/>
      <c r="G394" s="77"/>
      <c r="H394" s="78"/>
      <c r="I394" s="54"/>
      <c r="J394" s="39"/>
      <c r="K394" s="54"/>
      <c r="P394" s="22">
        <f t="shared" si="132"/>
        <v>0</v>
      </c>
      <c r="Q394" s="22" t="str">
        <f t="shared" si="134"/>
        <v>00</v>
      </c>
      <c r="R394" s="22">
        <f t="shared" si="133"/>
        <v>0</v>
      </c>
      <c r="S394" s="22" t="str">
        <f t="shared" si="135"/>
        <v>00</v>
      </c>
      <c r="T394" s="22">
        <f t="shared" si="131"/>
        <v>1900</v>
      </c>
      <c r="U394" s="22">
        <f t="shared" si="131"/>
        <v>1900</v>
      </c>
      <c r="W394" s="22" t="str">
        <f t="shared" si="136"/>
        <v>190000</v>
      </c>
      <c r="X394" s="22" t="str">
        <f t="shared" si="137"/>
        <v>190000</v>
      </c>
    </row>
    <row r="395" spans="2:24">
      <c r="B395" s="22"/>
      <c r="C395" s="22"/>
      <c r="D395" s="77"/>
      <c r="E395" s="54"/>
      <c r="F395" s="77"/>
      <c r="G395" s="77"/>
      <c r="H395" s="78"/>
      <c r="I395" s="54"/>
      <c r="J395" s="39"/>
      <c r="K395" s="54"/>
      <c r="P395" s="22">
        <f t="shared" si="132"/>
        <v>0</v>
      </c>
      <c r="Q395" s="22" t="str">
        <f t="shared" si="134"/>
        <v>00</v>
      </c>
      <c r="R395" s="22">
        <f t="shared" si="133"/>
        <v>0</v>
      </c>
      <c r="S395" s="22" t="str">
        <f t="shared" si="135"/>
        <v>00</v>
      </c>
      <c r="T395" s="22">
        <f t="shared" si="131"/>
        <v>1900</v>
      </c>
      <c r="U395" s="22">
        <f t="shared" si="131"/>
        <v>1900</v>
      </c>
      <c r="W395" s="22" t="str">
        <f t="shared" si="136"/>
        <v>190000</v>
      </c>
      <c r="X395" s="22" t="str">
        <f t="shared" si="137"/>
        <v>190000</v>
      </c>
    </row>
    <row r="396" spans="2:24">
      <c r="B396" s="22"/>
      <c r="C396" s="22"/>
      <c r="D396" s="77"/>
      <c r="E396" s="54"/>
      <c r="F396" s="77"/>
      <c r="G396" s="77"/>
      <c r="H396" s="78"/>
      <c r="I396" s="54"/>
      <c r="J396" s="39"/>
      <c r="K396" s="54"/>
      <c r="P396" s="22">
        <f t="shared" si="132"/>
        <v>0</v>
      </c>
      <c r="Q396" s="22" t="str">
        <f t="shared" si="134"/>
        <v>00</v>
      </c>
      <c r="R396" s="22">
        <f t="shared" si="133"/>
        <v>0</v>
      </c>
      <c r="S396" s="22" t="str">
        <f t="shared" si="135"/>
        <v>00</v>
      </c>
      <c r="T396" s="22">
        <f t="shared" si="131"/>
        <v>1900</v>
      </c>
      <c r="U396" s="22">
        <f t="shared" si="131"/>
        <v>1900</v>
      </c>
      <c r="W396" s="22" t="str">
        <f t="shared" si="136"/>
        <v>190000</v>
      </c>
      <c r="X396" s="22" t="str">
        <f t="shared" si="137"/>
        <v>190000</v>
      </c>
    </row>
    <row r="397" spans="2:24">
      <c r="B397" s="22"/>
      <c r="C397" s="22"/>
      <c r="D397" s="77"/>
      <c r="E397" s="54"/>
      <c r="F397" s="77"/>
      <c r="G397" s="77"/>
      <c r="H397" s="78"/>
      <c r="I397" s="54"/>
      <c r="J397" s="39"/>
      <c r="K397" s="54"/>
      <c r="P397" s="22">
        <f t="shared" si="132"/>
        <v>0</v>
      </c>
      <c r="Q397" s="22" t="str">
        <f t="shared" si="134"/>
        <v>00</v>
      </c>
      <c r="R397" s="22">
        <f t="shared" si="133"/>
        <v>0</v>
      </c>
      <c r="S397" s="22" t="str">
        <f t="shared" si="135"/>
        <v>00</v>
      </c>
      <c r="T397" s="22">
        <f t="shared" si="131"/>
        <v>1900</v>
      </c>
      <c r="U397" s="22">
        <f t="shared" si="131"/>
        <v>1900</v>
      </c>
      <c r="W397" s="22" t="str">
        <f t="shared" si="136"/>
        <v>190000</v>
      </c>
      <c r="X397" s="22" t="str">
        <f t="shared" si="137"/>
        <v>190000</v>
      </c>
    </row>
    <row r="398" spans="2:24">
      <c r="B398" s="22"/>
      <c r="C398" s="22"/>
      <c r="D398" s="77"/>
      <c r="E398" s="54"/>
      <c r="F398" s="77"/>
      <c r="G398" s="77"/>
      <c r="H398" s="78"/>
      <c r="I398" s="54"/>
      <c r="J398" s="39"/>
      <c r="K398" s="54"/>
      <c r="P398" s="22">
        <f t="shared" si="132"/>
        <v>0</v>
      </c>
      <c r="Q398" s="22" t="str">
        <f t="shared" si="134"/>
        <v>00</v>
      </c>
      <c r="R398" s="22">
        <f t="shared" si="133"/>
        <v>0</v>
      </c>
      <c r="S398" s="22" t="str">
        <f t="shared" si="135"/>
        <v>00</v>
      </c>
      <c r="T398" s="22">
        <f t="shared" si="131"/>
        <v>1900</v>
      </c>
      <c r="U398" s="22">
        <f t="shared" si="131"/>
        <v>1900</v>
      </c>
      <c r="W398" s="22" t="str">
        <f t="shared" si="136"/>
        <v>190000</v>
      </c>
      <c r="X398" s="22" t="str">
        <f t="shared" si="137"/>
        <v>190000</v>
      </c>
    </row>
    <row r="399" spans="2:24">
      <c r="B399" s="22"/>
      <c r="C399" s="22"/>
      <c r="D399" s="77"/>
      <c r="E399" s="54"/>
      <c r="F399" s="77"/>
      <c r="G399" s="77"/>
      <c r="H399" s="78"/>
      <c r="I399" s="54"/>
      <c r="J399" s="39"/>
      <c r="K399" s="54"/>
      <c r="P399" s="22">
        <f t="shared" si="132"/>
        <v>0</v>
      </c>
      <c r="Q399" s="22" t="str">
        <f t="shared" si="134"/>
        <v>00</v>
      </c>
      <c r="R399" s="22">
        <f t="shared" si="133"/>
        <v>0</v>
      </c>
      <c r="S399" s="22" t="str">
        <f t="shared" si="135"/>
        <v>00</v>
      </c>
      <c r="T399" s="22">
        <f t="shared" si="131"/>
        <v>1900</v>
      </c>
      <c r="U399" s="22">
        <f t="shared" si="131"/>
        <v>1900</v>
      </c>
      <c r="W399" s="22" t="str">
        <f t="shared" si="136"/>
        <v>190000</v>
      </c>
      <c r="X399" s="22" t="str">
        <f t="shared" si="137"/>
        <v>190000</v>
      </c>
    </row>
    <row r="400" spans="2:24">
      <c r="B400" s="22"/>
      <c r="C400" s="22"/>
      <c r="D400" s="77"/>
      <c r="E400" s="54"/>
      <c r="F400" s="77"/>
      <c r="G400" s="77"/>
      <c r="H400" s="78"/>
      <c r="I400" s="54"/>
      <c r="J400" s="39"/>
      <c r="K400" s="54"/>
      <c r="P400" s="22">
        <f t="shared" si="132"/>
        <v>0</v>
      </c>
      <c r="Q400" s="22" t="str">
        <f t="shared" si="134"/>
        <v>00</v>
      </c>
      <c r="R400" s="22">
        <f t="shared" si="133"/>
        <v>0</v>
      </c>
      <c r="S400" s="22" t="str">
        <f t="shared" si="135"/>
        <v>00</v>
      </c>
      <c r="T400" s="22">
        <f t="shared" si="131"/>
        <v>1900</v>
      </c>
      <c r="U400" s="22">
        <f t="shared" si="131"/>
        <v>1900</v>
      </c>
      <c r="W400" s="22" t="str">
        <f t="shared" si="136"/>
        <v>190000</v>
      </c>
      <c r="X400" s="22" t="str">
        <f t="shared" si="137"/>
        <v>190000</v>
      </c>
    </row>
    <row r="401" spans="2:24">
      <c r="B401" s="22"/>
      <c r="C401" s="22"/>
      <c r="D401" s="77"/>
      <c r="E401" s="54"/>
      <c r="F401" s="77"/>
      <c r="G401" s="77"/>
      <c r="H401" s="78"/>
      <c r="I401" s="54"/>
      <c r="J401" s="39"/>
      <c r="K401" s="54"/>
      <c r="P401" s="22">
        <f t="shared" si="132"/>
        <v>0</v>
      </c>
      <c r="Q401" s="22" t="str">
        <f t="shared" si="134"/>
        <v>00</v>
      </c>
      <c r="R401" s="22">
        <f t="shared" si="133"/>
        <v>0</v>
      </c>
      <c r="S401" s="22" t="str">
        <f t="shared" si="135"/>
        <v>00</v>
      </c>
      <c r="T401" s="22">
        <f t="shared" si="131"/>
        <v>1900</v>
      </c>
      <c r="U401" s="22">
        <f t="shared" si="131"/>
        <v>1900</v>
      </c>
      <c r="W401" s="22" t="str">
        <f t="shared" si="136"/>
        <v>190000</v>
      </c>
      <c r="X401" s="22" t="str">
        <f t="shared" si="137"/>
        <v>190000</v>
      </c>
    </row>
    <row r="402" spans="2:24">
      <c r="B402" s="22"/>
      <c r="C402" s="22"/>
      <c r="D402" s="77"/>
      <c r="E402" s="54"/>
      <c r="F402" s="77"/>
      <c r="G402" s="77"/>
      <c r="H402" s="78"/>
      <c r="I402" s="54"/>
      <c r="J402" s="39"/>
      <c r="K402" s="54"/>
      <c r="P402" s="22">
        <f t="shared" si="132"/>
        <v>0</v>
      </c>
      <c r="Q402" s="22" t="str">
        <f t="shared" si="134"/>
        <v>00</v>
      </c>
      <c r="R402" s="22">
        <f t="shared" si="133"/>
        <v>0</v>
      </c>
      <c r="S402" s="22" t="str">
        <f t="shared" si="135"/>
        <v>00</v>
      </c>
      <c r="T402" s="22">
        <f t="shared" si="131"/>
        <v>1900</v>
      </c>
      <c r="U402" s="22">
        <f t="shared" si="131"/>
        <v>1900</v>
      </c>
      <c r="W402" s="22" t="str">
        <f t="shared" si="136"/>
        <v>190000</v>
      </c>
      <c r="X402" s="22" t="str">
        <f t="shared" si="137"/>
        <v>190000</v>
      </c>
    </row>
    <row r="403" spans="2:24">
      <c r="B403" s="22"/>
      <c r="C403" s="22"/>
      <c r="D403" s="77"/>
      <c r="E403" s="54"/>
      <c r="F403" s="77"/>
      <c r="G403" s="77"/>
      <c r="H403" s="78"/>
      <c r="I403" s="54"/>
      <c r="J403" s="39"/>
      <c r="K403" s="54"/>
      <c r="P403" s="22">
        <f t="shared" si="132"/>
        <v>0</v>
      </c>
      <c r="Q403" s="22" t="str">
        <f t="shared" si="134"/>
        <v>00</v>
      </c>
      <c r="R403" s="22">
        <f t="shared" si="133"/>
        <v>0</v>
      </c>
      <c r="S403" s="22" t="str">
        <f t="shared" si="135"/>
        <v>00</v>
      </c>
      <c r="T403" s="22">
        <f t="shared" si="131"/>
        <v>1900</v>
      </c>
      <c r="U403" s="22">
        <f t="shared" si="131"/>
        <v>1900</v>
      </c>
      <c r="W403" s="22" t="str">
        <f t="shared" si="136"/>
        <v>190000</v>
      </c>
      <c r="X403" s="22" t="str">
        <f t="shared" si="137"/>
        <v>190000</v>
      </c>
    </row>
    <row r="404" spans="2:24">
      <c r="B404" s="22"/>
      <c r="C404" s="22"/>
      <c r="D404" s="77"/>
      <c r="E404" s="54"/>
      <c r="F404" s="77"/>
      <c r="G404" s="77"/>
      <c r="H404" s="78"/>
      <c r="I404" s="54"/>
      <c r="J404" s="39"/>
      <c r="K404" s="54"/>
      <c r="P404" s="22">
        <f t="shared" si="132"/>
        <v>0</v>
      </c>
      <c r="Q404" s="22" t="str">
        <f t="shared" si="134"/>
        <v>00</v>
      </c>
      <c r="R404" s="22">
        <f t="shared" si="133"/>
        <v>0</v>
      </c>
      <c r="S404" s="22" t="str">
        <f t="shared" si="135"/>
        <v>00</v>
      </c>
      <c r="T404" s="22">
        <f t="shared" ref="T404:U467" si="138">YEAR(F404)</f>
        <v>1900</v>
      </c>
      <c r="U404" s="22">
        <f t="shared" si="138"/>
        <v>1900</v>
      </c>
      <c r="W404" s="22" t="str">
        <f t="shared" si="136"/>
        <v>190000</v>
      </c>
      <c r="X404" s="22" t="str">
        <f t="shared" si="137"/>
        <v>190000</v>
      </c>
    </row>
    <row r="405" spans="2:24">
      <c r="B405" s="22"/>
      <c r="C405" s="22"/>
      <c r="D405" s="77"/>
      <c r="E405" s="54"/>
      <c r="F405" s="77"/>
      <c r="G405" s="77"/>
      <c r="H405" s="78"/>
      <c r="I405" s="54"/>
      <c r="J405" s="39"/>
      <c r="K405" s="54"/>
      <c r="P405" s="22">
        <f t="shared" si="132"/>
        <v>0</v>
      </c>
      <c r="Q405" s="22" t="str">
        <f t="shared" si="134"/>
        <v>00</v>
      </c>
      <c r="R405" s="22">
        <f t="shared" si="133"/>
        <v>0</v>
      </c>
      <c r="S405" s="22" t="str">
        <f t="shared" si="135"/>
        <v>00</v>
      </c>
      <c r="T405" s="22">
        <f t="shared" si="138"/>
        <v>1900</v>
      </c>
      <c r="U405" s="22">
        <f t="shared" si="138"/>
        <v>1900</v>
      </c>
      <c r="W405" s="22" t="str">
        <f t="shared" si="136"/>
        <v>190000</v>
      </c>
      <c r="X405" s="22" t="str">
        <f t="shared" si="137"/>
        <v>190000</v>
      </c>
    </row>
    <row r="406" spans="2:24">
      <c r="B406" s="22"/>
      <c r="C406" s="22"/>
      <c r="D406" s="77"/>
      <c r="E406" s="54"/>
      <c r="F406" s="77"/>
      <c r="G406" s="77"/>
      <c r="H406" s="78"/>
      <c r="I406" s="54"/>
      <c r="J406" s="39"/>
      <c r="K406" s="54"/>
      <c r="P406" s="22">
        <f t="shared" si="132"/>
        <v>0</v>
      </c>
      <c r="Q406" s="22" t="str">
        <f t="shared" si="134"/>
        <v>00</v>
      </c>
      <c r="R406" s="22">
        <f t="shared" si="133"/>
        <v>0</v>
      </c>
      <c r="S406" s="22" t="str">
        <f t="shared" si="135"/>
        <v>00</v>
      </c>
      <c r="T406" s="22">
        <f t="shared" si="138"/>
        <v>1900</v>
      </c>
      <c r="U406" s="22">
        <f t="shared" si="138"/>
        <v>1900</v>
      </c>
      <c r="W406" s="22" t="str">
        <f t="shared" si="136"/>
        <v>190000</v>
      </c>
      <c r="X406" s="22" t="str">
        <f t="shared" si="137"/>
        <v>190000</v>
      </c>
    </row>
    <row r="407" spans="2:24">
      <c r="B407" s="22"/>
      <c r="C407" s="22"/>
      <c r="D407" s="77"/>
      <c r="E407" s="54"/>
      <c r="F407" s="77"/>
      <c r="G407" s="77"/>
      <c r="H407" s="78"/>
      <c r="I407" s="54"/>
      <c r="J407" s="39"/>
      <c r="K407" s="54"/>
      <c r="P407" s="22">
        <f t="shared" si="132"/>
        <v>0</v>
      </c>
      <c r="Q407" s="22" t="str">
        <f t="shared" si="134"/>
        <v>00</v>
      </c>
      <c r="R407" s="22">
        <f t="shared" si="133"/>
        <v>0</v>
      </c>
      <c r="S407" s="22" t="str">
        <f t="shared" si="135"/>
        <v>00</v>
      </c>
      <c r="T407" s="22">
        <f t="shared" si="138"/>
        <v>1900</v>
      </c>
      <c r="U407" s="22">
        <f t="shared" si="138"/>
        <v>1900</v>
      </c>
      <c r="W407" s="22" t="str">
        <f t="shared" si="136"/>
        <v>190000</v>
      </c>
      <c r="X407" s="22" t="str">
        <f t="shared" si="137"/>
        <v>190000</v>
      </c>
    </row>
    <row r="408" spans="2:24">
      <c r="B408" s="22"/>
      <c r="C408" s="22"/>
      <c r="D408" s="77"/>
      <c r="E408" s="54"/>
      <c r="F408" s="77"/>
      <c r="G408" s="77"/>
      <c r="H408" s="78"/>
      <c r="I408" s="54"/>
      <c r="J408" s="39"/>
      <c r="K408" s="54"/>
      <c r="P408" s="22">
        <f t="shared" si="132"/>
        <v>0</v>
      </c>
      <c r="Q408" s="22" t="str">
        <f t="shared" si="134"/>
        <v>00</v>
      </c>
      <c r="R408" s="22">
        <f t="shared" si="133"/>
        <v>0</v>
      </c>
      <c r="S408" s="22" t="str">
        <f t="shared" si="135"/>
        <v>00</v>
      </c>
      <c r="T408" s="22">
        <f t="shared" si="138"/>
        <v>1900</v>
      </c>
      <c r="U408" s="22">
        <f t="shared" si="138"/>
        <v>1900</v>
      </c>
      <c r="W408" s="22" t="str">
        <f t="shared" si="136"/>
        <v>190000</v>
      </c>
      <c r="X408" s="22" t="str">
        <f t="shared" si="137"/>
        <v>190000</v>
      </c>
    </row>
    <row r="409" spans="2:24">
      <c r="B409" s="22"/>
      <c r="C409" s="22"/>
      <c r="D409" s="77"/>
      <c r="E409" s="54"/>
      <c r="F409" s="77"/>
      <c r="G409" s="77"/>
      <c r="H409" s="78"/>
      <c r="I409" s="54"/>
      <c r="J409" s="39"/>
      <c r="K409" s="54"/>
      <c r="P409" s="22">
        <f t="shared" si="132"/>
        <v>0</v>
      </c>
      <c r="Q409" s="22" t="str">
        <f t="shared" si="134"/>
        <v>00</v>
      </c>
      <c r="R409" s="22">
        <f t="shared" si="133"/>
        <v>0</v>
      </c>
      <c r="S409" s="22" t="str">
        <f t="shared" si="135"/>
        <v>00</v>
      </c>
      <c r="T409" s="22">
        <f t="shared" si="138"/>
        <v>1900</v>
      </c>
      <c r="U409" s="22">
        <f t="shared" si="138"/>
        <v>1900</v>
      </c>
      <c r="W409" s="22" t="str">
        <f t="shared" si="136"/>
        <v>190000</v>
      </c>
      <c r="X409" s="22" t="str">
        <f t="shared" si="137"/>
        <v>190000</v>
      </c>
    </row>
    <row r="410" spans="2:24">
      <c r="B410" s="22"/>
      <c r="C410" s="22"/>
      <c r="D410" s="77"/>
      <c r="E410" s="54"/>
      <c r="F410" s="77"/>
      <c r="G410" s="77"/>
      <c r="H410" s="78"/>
      <c r="I410" s="54"/>
      <c r="J410" s="39"/>
      <c r="K410" s="54"/>
      <c r="P410" s="22">
        <f t="shared" si="132"/>
        <v>0</v>
      </c>
      <c r="Q410" s="22" t="str">
        <f t="shared" si="134"/>
        <v>00</v>
      </c>
      <c r="R410" s="22">
        <f t="shared" si="133"/>
        <v>0</v>
      </c>
      <c r="S410" s="22" t="str">
        <f t="shared" si="135"/>
        <v>00</v>
      </c>
      <c r="T410" s="22">
        <f t="shared" si="138"/>
        <v>1900</v>
      </c>
      <c r="U410" s="22">
        <f t="shared" si="138"/>
        <v>1900</v>
      </c>
      <c r="W410" s="22" t="str">
        <f t="shared" si="136"/>
        <v>190000</v>
      </c>
      <c r="X410" s="22" t="str">
        <f t="shared" si="137"/>
        <v>190000</v>
      </c>
    </row>
    <row r="411" spans="2:24">
      <c r="B411" s="22"/>
      <c r="C411" s="22"/>
      <c r="D411" s="77"/>
      <c r="E411" s="54"/>
      <c r="F411" s="77"/>
      <c r="G411" s="77"/>
      <c r="H411" s="78"/>
      <c r="I411" s="54"/>
      <c r="J411" s="39"/>
      <c r="K411" s="54"/>
      <c r="P411" s="22">
        <f t="shared" si="132"/>
        <v>0</v>
      </c>
      <c r="Q411" s="22" t="str">
        <f t="shared" si="134"/>
        <v>00</v>
      </c>
      <c r="R411" s="22">
        <f t="shared" si="133"/>
        <v>0</v>
      </c>
      <c r="S411" s="22" t="str">
        <f t="shared" si="135"/>
        <v>00</v>
      </c>
      <c r="T411" s="22">
        <f t="shared" si="138"/>
        <v>1900</v>
      </c>
      <c r="U411" s="22">
        <f t="shared" si="138"/>
        <v>1900</v>
      </c>
      <c r="W411" s="22" t="str">
        <f t="shared" si="136"/>
        <v>190000</v>
      </c>
      <c r="X411" s="22" t="str">
        <f t="shared" si="137"/>
        <v>190000</v>
      </c>
    </row>
    <row r="412" spans="2:24">
      <c r="B412" s="22"/>
      <c r="C412" s="22"/>
      <c r="D412" s="77"/>
      <c r="E412" s="54"/>
      <c r="F412" s="77"/>
      <c r="G412" s="77"/>
      <c r="H412" s="78"/>
      <c r="I412" s="54"/>
      <c r="J412" s="39"/>
      <c r="K412" s="54"/>
      <c r="P412" s="22">
        <f t="shared" si="132"/>
        <v>0</v>
      </c>
      <c r="Q412" s="22" t="str">
        <f t="shared" si="134"/>
        <v>00</v>
      </c>
      <c r="R412" s="22">
        <f t="shared" si="133"/>
        <v>0</v>
      </c>
      <c r="S412" s="22" t="str">
        <f t="shared" si="135"/>
        <v>00</v>
      </c>
      <c r="T412" s="22">
        <f t="shared" si="138"/>
        <v>1900</v>
      </c>
      <c r="U412" s="22">
        <f t="shared" si="138"/>
        <v>1900</v>
      </c>
      <c r="W412" s="22" t="str">
        <f t="shared" si="136"/>
        <v>190000</v>
      </c>
      <c r="X412" s="22" t="str">
        <f t="shared" si="137"/>
        <v>190000</v>
      </c>
    </row>
    <row r="413" spans="2:24">
      <c r="B413" s="22"/>
      <c r="C413" s="22"/>
      <c r="D413" s="77"/>
      <c r="E413" s="54"/>
      <c r="F413" s="77"/>
      <c r="G413" s="77"/>
      <c r="H413" s="78"/>
      <c r="I413" s="54"/>
      <c r="J413" s="39"/>
      <c r="K413" s="54"/>
      <c r="P413" s="22">
        <f t="shared" si="132"/>
        <v>0</v>
      </c>
      <c r="Q413" s="22" t="str">
        <f t="shared" si="134"/>
        <v>00</v>
      </c>
      <c r="R413" s="22">
        <f t="shared" si="133"/>
        <v>0</v>
      </c>
      <c r="S413" s="22" t="str">
        <f t="shared" si="135"/>
        <v>00</v>
      </c>
      <c r="T413" s="22">
        <f t="shared" si="138"/>
        <v>1900</v>
      </c>
      <c r="U413" s="22">
        <f t="shared" si="138"/>
        <v>1900</v>
      </c>
      <c r="W413" s="22" t="str">
        <f t="shared" si="136"/>
        <v>190000</v>
      </c>
      <c r="X413" s="22" t="str">
        <f t="shared" si="137"/>
        <v>190000</v>
      </c>
    </row>
    <row r="414" spans="2:24">
      <c r="B414" s="22"/>
      <c r="C414" s="22"/>
      <c r="D414" s="77"/>
      <c r="E414" s="54"/>
      <c r="F414" s="77"/>
      <c r="G414" s="77"/>
      <c r="H414" s="78"/>
      <c r="I414" s="54"/>
      <c r="J414" s="39"/>
      <c r="K414" s="54"/>
      <c r="P414" s="22">
        <f t="shared" si="132"/>
        <v>0</v>
      </c>
      <c r="Q414" s="22" t="str">
        <f t="shared" si="134"/>
        <v>00</v>
      </c>
      <c r="R414" s="22">
        <f t="shared" si="133"/>
        <v>0</v>
      </c>
      <c r="S414" s="22" t="str">
        <f t="shared" si="135"/>
        <v>00</v>
      </c>
      <c r="T414" s="22">
        <f t="shared" si="138"/>
        <v>1900</v>
      </c>
      <c r="U414" s="22">
        <f t="shared" si="138"/>
        <v>1900</v>
      </c>
      <c r="W414" s="22" t="str">
        <f t="shared" si="136"/>
        <v>190000</v>
      </c>
      <c r="X414" s="22" t="str">
        <f t="shared" si="137"/>
        <v>190000</v>
      </c>
    </row>
    <row r="415" spans="2:24">
      <c r="B415" s="22"/>
      <c r="C415" s="22"/>
      <c r="D415" s="77"/>
      <c r="E415" s="54"/>
      <c r="F415" s="77"/>
      <c r="G415" s="77"/>
      <c r="H415" s="78"/>
      <c r="I415" s="54"/>
      <c r="J415" s="39"/>
      <c r="K415" s="54"/>
      <c r="P415" s="22">
        <f t="shared" si="132"/>
        <v>0</v>
      </c>
      <c r="Q415" s="22" t="str">
        <f t="shared" si="134"/>
        <v>00</v>
      </c>
      <c r="R415" s="22">
        <f t="shared" si="133"/>
        <v>0</v>
      </c>
      <c r="S415" s="22" t="str">
        <f t="shared" si="135"/>
        <v>00</v>
      </c>
      <c r="T415" s="22">
        <f t="shared" si="138"/>
        <v>1900</v>
      </c>
      <c r="U415" s="22">
        <f t="shared" si="138"/>
        <v>1900</v>
      </c>
      <c r="W415" s="22" t="str">
        <f t="shared" si="136"/>
        <v>190000</v>
      </c>
      <c r="X415" s="22" t="str">
        <f t="shared" si="137"/>
        <v>190000</v>
      </c>
    </row>
    <row r="416" spans="2:24">
      <c r="B416" s="22"/>
      <c r="C416" s="22"/>
      <c r="D416" s="77"/>
      <c r="E416" s="54"/>
      <c r="F416" s="77"/>
      <c r="G416" s="77"/>
      <c r="H416" s="78"/>
      <c r="I416" s="54"/>
      <c r="J416" s="39"/>
      <c r="K416" s="54"/>
      <c r="P416" s="22">
        <f t="shared" si="132"/>
        <v>0</v>
      </c>
      <c r="Q416" s="22" t="str">
        <f t="shared" si="134"/>
        <v>00</v>
      </c>
      <c r="R416" s="22">
        <f t="shared" si="133"/>
        <v>0</v>
      </c>
      <c r="S416" s="22" t="str">
        <f t="shared" si="135"/>
        <v>00</v>
      </c>
      <c r="T416" s="22">
        <f t="shared" si="138"/>
        <v>1900</v>
      </c>
      <c r="U416" s="22">
        <f t="shared" si="138"/>
        <v>1900</v>
      </c>
      <c r="W416" s="22" t="str">
        <f t="shared" si="136"/>
        <v>190000</v>
      </c>
      <c r="X416" s="22" t="str">
        <f t="shared" si="137"/>
        <v>190000</v>
      </c>
    </row>
    <row r="417" spans="2:24">
      <c r="B417" s="22"/>
      <c r="C417" s="22"/>
      <c r="D417" s="77"/>
      <c r="E417" s="54"/>
      <c r="F417" s="77"/>
      <c r="G417" s="77"/>
      <c r="H417" s="78"/>
      <c r="I417" s="54"/>
      <c r="J417" s="39"/>
      <c r="K417" s="54"/>
      <c r="P417" s="22">
        <f t="shared" si="132"/>
        <v>0</v>
      </c>
      <c r="Q417" s="22" t="str">
        <f t="shared" si="134"/>
        <v>00</v>
      </c>
      <c r="R417" s="22">
        <f t="shared" si="133"/>
        <v>0</v>
      </c>
      <c r="S417" s="22" t="str">
        <f t="shared" si="135"/>
        <v>00</v>
      </c>
      <c r="T417" s="22">
        <f t="shared" si="138"/>
        <v>1900</v>
      </c>
      <c r="U417" s="22">
        <f t="shared" si="138"/>
        <v>1900</v>
      </c>
      <c r="W417" s="22" t="str">
        <f t="shared" si="136"/>
        <v>190000</v>
      </c>
      <c r="X417" s="22" t="str">
        <f t="shared" si="137"/>
        <v>190000</v>
      </c>
    </row>
    <row r="418" spans="2:24">
      <c r="B418" s="22"/>
      <c r="C418" s="22"/>
      <c r="D418" s="77"/>
      <c r="E418" s="54"/>
      <c r="F418" s="77"/>
      <c r="G418" s="77"/>
      <c r="H418" s="78"/>
      <c r="I418" s="54"/>
      <c r="J418" s="39"/>
      <c r="K418" s="54"/>
      <c r="P418" s="22">
        <f t="shared" si="132"/>
        <v>0</v>
      </c>
      <c r="Q418" s="22" t="str">
        <f t="shared" si="134"/>
        <v>00</v>
      </c>
      <c r="R418" s="22">
        <f t="shared" si="133"/>
        <v>0</v>
      </c>
      <c r="S418" s="22" t="str">
        <f t="shared" si="135"/>
        <v>00</v>
      </c>
      <c r="T418" s="22">
        <f t="shared" si="138"/>
        <v>1900</v>
      </c>
      <c r="U418" s="22">
        <f t="shared" si="138"/>
        <v>1900</v>
      </c>
      <c r="W418" s="22" t="str">
        <f t="shared" si="136"/>
        <v>190000</v>
      </c>
      <c r="X418" s="22" t="str">
        <f t="shared" si="137"/>
        <v>190000</v>
      </c>
    </row>
    <row r="419" spans="2:24">
      <c r="B419" s="22"/>
      <c r="C419" s="22"/>
      <c r="D419" s="77"/>
      <c r="E419" s="54"/>
      <c r="F419" s="77"/>
      <c r="G419" s="77"/>
      <c r="H419" s="78"/>
      <c r="I419" s="54"/>
      <c r="J419" s="39"/>
      <c r="K419" s="54"/>
      <c r="P419" s="22">
        <f t="shared" si="132"/>
        <v>0</v>
      </c>
      <c r="Q419" s="22" t="str">
        <f t="shared" si="134"/>
        <v>00</v>
      </c>
      <c r="R419" s="22">
        <f t="shared" si="133"/>
        <v>0</v>
      </c>
      <c r="S419" s="22" t="str">
        <f t="shared" si="135"/>
        <v>00</v>
      </c>
      <c r="T419" s="22">
        <f t="shared" si="138"/>
        <v>1900</v>
      </c>
      <c r="U419" s="22">
        <f t="shared" si="138"/>
        <v>1900</v>
      </c>
      <c r="W419" s="22" t="str">
        <f t="shared" si="136"/>
        <v>190000</v>
      </c>
      <c r="X419" s="22" t="str">
        <f t="shared" si="137"/>
        <v>190000</v>
      </c>
    </row>
    <row r="420" spans="2:24">
      <c r="B420" s="22"/>
      <c r="C420" s="22"/>
      <c r="D420" s="77"/>
      <c r="E420" s="54"/>
      <c r="F420" s="77"/>
      <c r="G420" s="77"/>
      <c r="H420" s="78"/>
      <c r="I420" s="54"/>
      <c r="J420" s="39"/>
      <c r="K420" s="54"/>
      <c r="P420" s="22">
        <f t="shared" si="132"/>
        <v>0</v>
      </c>
      <c r="Q420" s="22" t="str">
        <f t="shared" si="134"/>
        <v>00</v>
      </c>
      <c r="R420" s="22">
        <f t="shared" si="133"/>
        <v>0</v>
      </c>
      <c r="S420" s="22" t="str">
        <f t="shared" si="135"/>
        <v>00</v>
      </c>
      <c r="T420" s="22">
        <f t="shared" si="138"/>
        <v>1900</v>
      </c>
      <c r="U420" s="22">
        <f t="shared" si="138"/>
        <v>1900</v>
      </c>
      <c r="W420" s="22" t="str">
        <f t="shared" si="136"/>
        <v>190000</v>
      </c>
      <c r="X420" s="22" t="str">
        <f t="shared" si="137"/>
        <v>190000</v>
      </c>
    </row>
    <row r="421" spans="2:24">
      <c r="B421" s="22"/>
      <c r="C421" s="22"/>
      <c r="D421" s="77"/>
      <c r="E421" s="54"/>
      <c r="F421" s="77"/>
      <c r="G421" s="77"/>
      <c r="H421" s="78"/>
      <c r="I421" s="54"/>
      <c r="J421" s="39"/>
      <c r="K421" s="54"/>
      <c r="P421" s="22">
        <f t="shared" si="132"/>
        <v>0</v>
      </c>
      <c r="Q421" s="22" t="str">
        <f t="shared" si="134"/>
        <v>00</v>
      </c>
      <c r="R421" s="22">
        <f t="shared" si="133"/>
        <v>0</v>
      </c>
      <c r="S421" s="22" t="str">
        <f t="shared" si="135"/>
        <v>00</v>
      </c>
      <c r="T421" s="22">
        <f t="shared" si="138"/>
        <v>1900</v>
      </c>
      <c r="U421" s="22">
        <f t="shared" si="138"/>
        <v>1900</v>
      </c>
      <c r="W421" s="22" t="str">
        <f t="shared" si="136"/>
        <v>190000</v>
      </c>
      <c r="X421" s="22" t="str">
        <f t="shared" si="137"/>
        <v>190000</v>
      </c>
    </row>
    <row r="422" spans="2:24">
      <c r="B422" s="22"/>
      <c r="C422" s="22"/>
      <c r="D422" s="77"/>
      <c r="E422" s="54"/>
      <c r="F422" s="77"/>
      <c r="G422" s="77"/>
      <c r="H422" s="78"/>
      <c r="I422" s="54"/>
      <c r="J422" s="39"/>
      <c r="K422" s="54"/>
      <c r="P422" s="22">
        <f t="shared" si="132"/>
        <v>0</v>
      </c>
      <c r="Q422" s="22" t="str">
        <f t="shared" si="134"/>
        <v>00</v>
      </c>
      <c r="R422" s="22">
        <f t="shared" si="133"/>
        <v>0</v>
      </c>
      <c r="S422" s="22" t="str">
        <f t="shared" si="135"/>
        <v>00</v>
      </c>
      <c r="T422" s="22">
        <f t="shared" si="138"/>
        <v>1900</v>
      </c>
      <c r="U422" s="22">
        <f t="shared" si="138"/>
        <v>1900</v>
      </c>
      <c r="W422" s="22" t="str">
        <f t="shared" si="136"/>
        <v>190000</v>
      </c>
      <c r="X422" s="22" t="str">
        <f t="shared" si="137"/>
        <v>190000</v>
      </c>
    </row>
    <row r="423" spans="2:24">
      <c r="B423" s="22"/>
      <c r="C423" s="22"/>
      <c r="D423" s="77"/>
      <c r="E423" s="54"/>
      <c r="F423" s="77"/>
      <c r="G423" s="77"/>
      <c r="H423" s="78"/>
      <c r="I423" s="54"/>
      <c r="J423" s="39"/>
      <c r="K423" s="54"/>
      <c r="P423" s="22">
        <f t="shared" si="132"/>
        <v>0</v>
      </c>
      <c r="Q423" s="22" t="str">
        <f t="shared" si="134"/>
        <v>00</v>
      </c>
      <c r="R423" s="22">
        <f t="shared" si="133"/>
        <v>0</v>
      </c>
      <c r="S423" s="22" t="str">
        <f t="shared" si="135"/>
        <v>00</v>
      </c>
      <c r="T423" s="22">
        <f t="shared" si="138"/>
        <v>1900</v>
      </c>
      <c r="U423" s="22">
        <f t="shared" si="138"/>
        <v>1900</v>
      </c>
      <c r="W423" s="22" t="str">
        <f t="shared" si="136"/>
        <v>190000</v>
      </c>
      <c r="X423" s="22" t="str">
        <f t="shared" si="137"/>
        <v>190000</v>
      </c>
    </row>
    <row r="424" spans="2:24">
      <c r="B424" s="22"/>
      <c r="C424" s="22"/>
      <c r="D424" s="77"/>
      <c r="E424" s="54"/>
      <c r="F424" s="77"/>
      <c r="G424" s="77"/>
      <c r="H424" s="78"/>
      <c r="I424" s="54"/>
      <c r="J424" s="39"/>
      <c r="K424" s="54"/>
      <c r="P424" s="22">
        <f t="shared" si="132"/>
        <v>0</v>
      </c>
      <c r="Q424" s="22" t="str">
        <f t="shared" si="134"/>
        <v>00</v>
      </c>
      <c r="R424" s="22">
        <f t="shared" si="133"/>
        <v>0</v>
      </c>
      <c r="S424" s="22" t="str">
        <f t="shared" si="135"/>
        <v>00</v>
      </c>
      <c r="T424" s="22">
        <f t="shared" si="138"/>
        <v>1900</v>
      </c>
      <c r="U424" s="22">
        <f t="shared" si="138"/>
        <v>1900</v>
      </c>
      <c r="W424" s="22" t="str">
        <f t="shared" si="136"/>
        <v>190000</v>
      </c>
      <c r="X424" s="22" t="str">
        <f t="shared" si="137"/>
        <v>190000</v>
      </c>
    </row>
    <row r="425" spans="2:24">
      <c r="B425" s="22"/>
      <c r="C425" s="22"/>
      <c r="D425" s="77"/>
      <c r="E425" s="54"/>
      <c r="F425" s="77"/>
      <c r="G425" s="77"/>
      <c r="H425" s="78"/>
      <c r="I425" s="54"/>
      <c r="J425" s="39"/>
      <c r="K425" s="54"/>
      <c r="P425" s="22">
        <f t="shared" si="132"/>
        <v>0</v>
      </c>
      <c r="Q425" s="22" t="str">
        <f t="shared" si="134"/>
        <v>00</v>
      </c>
      <c r="R425" s="22">
        <f t="shared" si="133"/>
        <v>0</v>
      </c>
      <c r="S425" s="22" t="str">
        <f t="shared" si="135"/>
        <v>00</v>
      </c>
      <c r="T425" s="22">
        <f t="shared" si="138"/>
        <v>1900</v>
      </c>
      <c r="U425" s="22">
        <f t="shared" si="138"/>
        <v>1900</v>
      </c>
      <c r="W425" s="22" t="str">
        <f t="shared" si="136"/>
        <v>190000</v>
      </c>
      <c r="X425" s="22" t="str">
        <f t="shared" si="137"/>
        <v>190000</v>
      </c>
    </row>
    <row r="426" spans="2:24">
      <c r="B426" s="22"/>
      <c r="C426" s="22"/>
      <c r="D426" s="77"/>
      <c r="E426" s="54"/>
      <c r="F426" s="77"/>
      <c r="G426" s="77"/>
      <c r="H426" s="78"/>
      <c r="I426" s="54"/>
      <c r="J426" s="39"/>
      <c r="K426" s="54"/>
      <c r="P426" s="22">
        <f t="shared" si="132"/>
        <v>0</v>
      </c>
      <c r="Q426" s="22" t="str">
        <f t="shared" si="134"/>
        <v>00</v>
      </c>
      <c r="R426" s="22">
        <f t="shared" si="133"/>
        <v>0</v>
      </c>
      <c r="S426" s="22" t="str">
        <f t="shared" si="135"/>
        <v>00</v>
      </c>
      <c r="T426" s="22">
        <f t="shared" si="138"/>
        <v>1900</v>
      </c>
      <c r="U426" s="22">
        <f t="shared" si="138"/>
        <v>1900</v>
      </c>
      <c r="W426" s="22" t="str">
        <f t="shared" si="136"/>
        <v>190000</v>
      </c>
      <c r="X426" s="22" t="str">
        <f t="shared" si="137"/>
        <v>190000</v>
      </c>
    </row>
    <row r="427" spans="2:24">
      <c r="B427" s="22"/>
      <c r="C427" s="22"/>
      <c r="D427" s="77"/>
      <c r="E427" s="54"/>
      <c r="F427" s="77"/>
      <c r="G427" s="77"/>
      <c r="H427" s="78"/>
      <c r="I427" s="54"/>
      <c r="J427" s="39"/>
      <c r="K427" s="54"/>
      <c r="P427" s="22">
        <f t="shared" si="132"/>
        <v>0</v>
      </c>
      <c r="Q427" s="22" t="str">
        <f t="shared" si="134"/>
        <v>00</v>
      </c>
      <c r="R427" s="22">
        <f t="shared" si="133"/>
        <v>0</v>
      </c>
      <c r="S427" s="22" t="str">
        <f t="shared" si="135"/>
        <v>00</v>
      </c>
      <c r="T427" s="22">
        <f t="shared" si="138"/>
        <v>1900</v>
      </c>
      <c r="U427" s="22">
        <f t="shared" si="138"/>
        <v>1900</v>
      </c>
      <c r="W427" s="22" t="str">
        <f t="shared" si="136"/>
        <v>190000</v>
      </c>
      <c r="X427" s="22" t="str">
        <f t="shared" si="137"/>
        <v>190000</v>
      </c>
    </row>
    <row r="428" spans="2:24">
      <c r="B428" s="22"/>
      <c r="C428" s="22"/>
      <c r="D428" s="77"/>
      <c r="E428" s="54"/>
      <c r="F428" s="77"/>
      <c r="G428" s="77"/>
      <c r="H428" s="78"/>
      <c r="I428" s="54"/>
      <c r="J428" s="39"/>
      <c r="K428" s="54"/>
      <c r="P428" s="22">
        <f t="shared" si="132"/>
        <v>0</v>
      </c>
      <c r="Q428" s="22" t="str">
        <f t="shared" si="134"/>
        <v>00</v>
      </c>
      <c r="R428" s="22">
        <f t="shared" si="133"/>
        <v>0</v>
      </c>
      <c r="S428" s="22" t="str">
        <f t="shared" si="135"/>
        <v>00</v>
      </c>
      <c r="T428" s="22">
        <f t="shared" si="138"/>
        <v>1900</v>
      </c>
      <c r="U428" s="22">
        <f t="shared" si="138"/>
        <v>1900</v>
      </c>
      <c r="W428" s="22" t="str">
        <f t="shared" si="136"/>
        <v>190000</v>
      </c>
      <c r="X428" s="22" t="str">
        <f t="shared" si="137"/>
        <v>190000</v>
      </c>
    </row>
    <row r="429" spans="2:24">
      <c r="B429" s="22"/>
      <c r="C429" s="22"/>
      <c r="D429" s="77"/>
      <c r="E429" s="54"/>
      <c r="F429" s="77"/>
      <c r="G429" s="77"/>
      <c r="H429" s="78"/>
      <c r="I429" s="54"/>
      <c r="J429" s="39"/>
      <c r="K429" s="54"/>
      <c r="P429" s="22">
        <f t="shared" si="132"/>
        <v>0</v>
      </c>
      <c r="Q429" s="22" t="str">
        <f t="shared" si="134"/>
        <v>00</v>
      </c>
      <c r="R429" s="22">
        <f t="shared" si="133"/>
        <v>0</v>
      </c>
      <c r="S429" s="22" t="str">
        <f t="shared" si="135"/>
        <v>00</v>
      </c>
      <c r="T429" s="22">
        <f t="shared" si="138"/>
        <v>1900</v>
      </c>
      <c r="U429" s="22">
        <f t="shared" si="138"/>
        <v>1900</v>
      </c>
      <c r="W429" s="22" t="str">
        <f t="shared" si="136"/>
        <v>190000</v>
      </c>
      <c r="X429" s="22" t="str">
        <f t="shared" si="137"/>
        <v>190000</v>
      </c>
    </row>
    <row r="430" spans="2:24">
      <c r="B430" s="22"/>
      <c r="C430" s="22"/>
      <c r="D430" s="77"/>
      <c r="E430" s="54"/>
      <c r="F430" s="77"/>
      <c r="G430" s="77"/>
      <c r="H430" s="78"/>
      <c r="I430" s="54"/>
      <c r="J430" s="39"/>
      <c r="K430" s="54"/>
      <c r="P430" s="22">
        <f t="shared" si="132"/>
        <v>0</v>
      </c>
      <c r="Q430" s="22" t="str">
        <f t="shared" si="134"/>
        <v>00</v>
      </c>
      <c r="R430" s="22">
        <f t="shared" si="133"/>
        <v>0</v>
      </c>
      <c r="S430" s="22" t="str">
        <f t="shared" si="135"/>
        <v>00</v>
      </c>
      <c r="T430" s="22">
        <f t="shared" si="138"/>
        <v>1900</v>
      </c>
      <c r="U430" s="22">
        <f t="shared" si="138"/>
        <v>1900</v>
      </c>
      <c r="W430" s="22" t="str">
        <f t="shared" si="136"/>
        <v>190000</v>
      </c>
      <c r="X430" s="22" t="str">
        <f t="shared" si="137"/>
        <v>190000</v>
      </c>
    </row>
    <row r="431" spans="2:24">
      <c r="B431" s="22"/>
      <c r="C431" s="22"/>
      <c r="D431" s="77"/>
      <c r="E431" s="54"/>
      <c r="F431" s="77"/>
      <c r="G431" s="77"/>
      <c r="H431" s="78"/>
      <c r="I431" s="54"/>
      <c r="J431" s="39"/>
      <c r="K431" s="54"/>
      <c r="P431" s="22">
        <f t="shared" si="132"/>
        <v>0</v>
      </c>
      <c r="Q431" s="22" t="str">
        <f t="shared" si="134"/>
        <v>00</v>
      </c>
      <c r="R431" s="22">
        <f t="shared" si="133"/>
        <v>0</v>
      </c>
      <c r="S431" s="22" t="str">
        <f t="shared" si="135"/>
        <v>00</v>
      </c>
      <c r="T431" s="22">
        <f t="shared" si="138"/>
        <v>1900</v>
      </c>
      <c r="U431" s="22">
        <f t="shared" si="138"/>
        <v>1900</v>
      </c>
      <c r="W431" s="22" t="str">
        <f t="shared" si="136"/>
        <v>190000</v>
      </c>
      <c r="X431" s="22" t="str">
        <f t="shared" si="137"/>
        <v>190000</v>
      </c>
    </row>
    <row r="432" spans="2:24">
      <c r="B432" s="22"/>
      <c r="C432" s="22"/>
      <c r="D432" s="77"/>
      <c r="E432" s="54"/>
      <c r="F432" s="77"/>
      <c r="G432" s="77"/>
      <c r="H432" s="78"/>
      <c r="I432" s="54"/>
      <c r="J432" s="39"/>
      <c r="K432" s="54"/>
      <c r="P432" s="22">
        <f t="shared" si="132"/>
        <v>0</v>
      </c>
      <c r="Q432" s="22" t="str">
        <f t="shared" si="134"/>
        <v>00</v>
      </c>
      <c r="R432" s="22">
        <f t="shared" si="133"/>
        <v>0</v>
      </c>
      <c r="S432" s="22" t="str">
        <f t="shared" si="135"/>
        <v>00</v>
      </c>
      <c r="T432" s="22">
        <f t="shared" si="138"/>
        <v>1900</v>
      </c>
      <c r="U432" s="22">
        <f t="shared" si="138"/>
        <v>1900</v>
      </c>
      <c r="W432" s="22" t="str">
        <f t="shared" si="136"/>
        <v>190000</v>
      </c>
      <c r="X432" s="22" t="str">
        <f t="shared" si="137"/>
        <v>190000</v>
      </c>
    </row>
    <row r="433" spans="2:24">
      <c r="B433" s="22"/>
      <c r="C433" s="22"/>
      <c r="D433" s="77"/>
      <c r="E433" s="54"/>
      <c r="F433" s="77"/>
      <c r="G433" s="77"/>
      <c r="H433" s="78"/>
      <c r="I433" s="54"/>
      <c r="J433" s="39"/>
      <c r="K433" s="54"/>
      <c r="P433" s="22">
        <f t="shared" si="132"/>
        <v>0</v>
      </c>
      <c r="Q433" s="22" t="str">
        <f t="shared" si="134"/>
        <v>00</v>
      </c>
      <c r="R433" s="22">
        <f t="shared" si="133"/>
        <v>0</v>
      </c>
      <c r="S433" s="22" t="str">
        <f t="shared" si="135"/>
        <v>00</v>
      </c>
      <c r="T433" s="22">
        <f t="shared" si="138"/>
        <v>1900</v>
      </c>
      <c r="U433" s="22">
        <f t="shared" si="138"/>
        <v>1900</v>
      </c>
      <c r="W433" s="22" t="str">
        <f t="shared" si="136"/>
        <v>190000</v>
      </c>
      <c r="X433" s="22" t="str">
        <f t="shared" si="137"/>
        <v>190000</v>
      </c>
    </row>
    <row r="434" spans="2:24">
      <c r="B434" s="22"/>
      <c r="C434" s="22"/>
      <c r="D434" s="77"/>
      <c r="E434" s="54"/>
      <c r="F434" s="77"/>
      <c r="G434" s="77"/>
      <c r="H434" s="78"/>
      <c r="I434" s="54"/>
      <c r="J434" s="39"/>
      <c r="K434" s="54"/>
      <c r="P434" s="22">
        <f t="shared" si="132"/>
        <v>0</v>
      </c>
      <c r="Q434" s="22" t="str">
        <f t="shared" si="134"/>
        <v>00</v>
      </c>
      <c r="R434" s="22">
        <f t="shared" si="133"/>
        <v>0</v>
      </c>
      <c r="S434" s="22" t="str">
        <f t="shared" si="135"/>
        <v>00</v>
      </c>
      <c r="T434" s="22">
        <f t="shared" si="138"/>
        <v>1900</v>
      </c>
      <c r="U434" s="22">
        <f t="shared" si="138"/>
        <v>1900</v>
      </c>
      <c r="W434" s="22" t="str">
        <f t="shared" si="136"/>
        <v>190000</v>
      </c>
      <c r="X434" s="22" t="str">
        <f t="shared" si="137"/>
        <v>190000</v>
      </c>
    </row>
    <row r="435" spans="2:24">
      <c r="B435" s="22"/>
      <c r="C435" s="22"/>
      <c r="D435" s="77"/>
      <c r="E435" s="54"/>
      <c r="F435" s="77"/>
      <c r="G435" s="77"/>
      <c r="H435" s="78"/>
      <c r="I435" s="54"/>
      <c r="J435" s="39"/>
      <c r="K435" s="54"/>
      <c r="P435" s="22">
        <f t="shared" si="132"/>
        <v>0</v>
      </c>
      <c r="Q435" s="22" t="str">
        <f t="shared" si="134"/>
        <v>00</v>
      </c>
      <c r="R435" s="22">
        <f t="shared" si="133"/>
        <v>0</v>
      </c>
      <c r="S435" s="22" t="str">
        <f t="shared" si="135"/>
        <v>00</v>
      </c>
      <c r="T435" s="22">
        <f t="shared" si="138"/>
        <v>1900</v>
      </c>
      <c r="U435" s="22">
        <f t="shared" si="138"/>
        <v>1900</v>
      </c>
      <c r="W435" s="22" t="str">
        <f t="shared" si="136"/>
        <v>190000</v>
      </c>
      <c r="X435" s="22" t="str">
        <f t="shared" si="137"/>
        <v>190000</v>
      </c>
    </row>
    <row r="436" spans="2:24">
      <c r="B436" s="22"/>
      <c r="C436" s="22"/>
      <c r="D436" s="77"/>
      <c r="E436" s="54"/>
      <c r="F436" s="77"/>
      <c r="G436" s="77"/>
      <c r="H436" s="78"/>
      <c r="I436" s="54"/>
      <c r="J436" s="39"/>
      <c r="K436" s="54"/>
      <c r="P436" s="22">
        <f t="shared" si="132"/>
        <v>0</v>
      </c>
      <c r="Q436" s="22" t="str">
        <f t="shared" si="134"/>
        <v>00</v>
      </c>
      <c r="R436" s="22">
        <f t="shared" si="133"/>
        <v>0</v>
      </c>
      <c r="S436" s="22" t="str">
        <f t="shared" si="135"/>
        <v>00</v>
      </c>
      <c r="T436" s="22">
        <f t="shared" si="138"/>
        <v>1900</v>
      </c>
      <c r="U436" s="22">
        <f t="shared" si="138"/>
        <v>1900</v>
      </c>
      <c r="W436" s="22" t="str">
        <f t="shared" si="136"/>
        <v>190000</v>
      </c>
      <c r="X436" s="22" t="str">
        <f t="shared" si="137"/>
        <v>190000</v>
      </c>
    </row>
    <row r="437" spans="2:24">
      <c r="B437" s="22"/>
      <c r="C437" s="22"/>
      <c r="D437" s="77"/>
      <c r="E437" s="54"/>
      <c r="F437" s="77"/>
      <c r="G437" s="77"/>
      <c r="H437" s="78"/>
      <c r="I437" s="54"/>
      <c r="J437" s="39"/>
      <c r="K437" s="54"/>
      <c r="P437" s="22">
        <f t="shared" si="132"/>
        <v>0</v>
      </c>
      <c r="Q437" s="22" t="str">
        <f t="shared" si="134"/>
        <v>00</v>
      </c>
      <c r="R437" s="22">
        <f t="shared" si="133"/>
        <v>0</v>
      </c>
      <c r="S437" s="22" t="str">
        <f t="shared" si="135"/>
        <v>00</v>
      </c>
      <c r="T437" s="22">
        <f t="shared" si="138"/>
        <v>1900</v>
      </c>
      <c r="U437" s="22">
        <f t="shared" si="138"/>
        <v>1900</v>
      </c>
      <c r="W437" s="22" t="str">
        <f t="shared" si="136"/>
        <v>190000</v>
      </c>
      <c r="X437" s="22" t="str">
        <f t="shared" si="137"/>
        <v>190000</v>
      </c>
    </row>
    <row r="438" spans="2:24">
      <c r="B438" s="22"/>
      <c r="C438" s="22"/>
      <c r="D438" s="77"/>
      <c r="E438" s="54"/>
      <c r="F438" s="77"/>
      <c r="G438" s="77"/>
      <c r="H438" s="78"/>
      <c r="I438" s="54"/>
      <c r="J438" s="39"/>
      <c r="K438" s="54"/>
      <c r="P438" s="22">
        <f t="shared" si="132"/>
        <v>0</v>
      </c>
      <c r="Q438" s="22" t="str">
        <f t="shared" si="134"/>
        <v>00</v>
      </c>
      <c r="R438" s="22">
        <f t="shared" si="133"/>
        <v>0</v>
      </c>
      <c r="S438" s="22" t="str">
        <f t="shared" si="135"/>
        <v>00</v>
      </c>
      <c r="T438" s="22">
        <f t="shared" si="138"/>
        <v>1900</v>
      </c>
      <c r="U438" s="22">
        <f t="shared" si="138"/>
        <v>1900</v>
      </c>
      <c r="W438" s="22" t="str">
        <f t="shared" si="136"/>
        <v>190000</v>
      </c>
      <c r="X438" s="22" t="str">
        <f t="shared" si="137"/>
        <v>190000</v>
      </c>
    </row>
    <row r="439" spans="2:24">
      <c r="B439" s="22"/>
      <c r="C439" s="22"/>
      <c r="D439" s="77"/>
      <c r="E439" s="54"/>
      <c r="F439" s="77"/>
      <c r="G439" s="77"/>
      <c r="H439" s="78"/>
      <c r="I439" s="54"/>
      <c r="J439" s="39"/>
      <c r="K439" s="54"/>
      <c r="P439" s="22">
        <f t="shared" si="132"/>
        <v>0</v>
      </c>
      <c r="Q439" s="22" t="str">
        <f t="shared" si="134"/>
        <v>00</v>
      </c>
      <c r="R439" s="22">
        <f t="shared" si="133"/>
        <v>0</v>
      </c>
      <c r="S439" s="22" t="str">
        <f t="shared" si="135"/>
        <v>00</v>
      </c>
      <c r="T439" s="22">
        <f t="shared" si="138"/>
        <v>1900</v>
      </c>
      <c r="U439" s="22">
        <f t="shared" si="138"/>
        <v>1900</v>
      </c>
      <c r="W439" s="22" t="str">
        <f t="shared" si="136"/>
        <v>190000</v>
      </c>
      <c r="X439" s="22" t="str">
        <f t="shared" si="137"/>
        <v>190000</v>
      </c>
    </row>
    <row r="440" spans="2:24">
      <c r="B440" s="22"/>
      <c r="C440" s="22"/>
      <c r="D440" s="77"/>
      <c r="E440" s="54"/>
      <c r="F440" s="77"/>
      <c r="G440" s="77"/>
      <c r="H440" s="78"/>
      <c r="I440" s="54"/>
      <c r="J440" s="39"/>
      <c r="K440" s="54"/>
      <c r="P440" s="22">
        <f t="shared" si="132"/>
        <v>0</v>
      </c>
      <c r="Q440" s="22" t="str">
        <f t="shared" si="134"/>
        <v>00</v>
      </c>
      <c r="R440" s="22">
        <f t="shared" si="133"/>
        <v>0</v>
      </c>
      <c r="S440" s="22" t="str">
        <f t="shared" si="135"/>
        <v>00</v>
      </c>
      <c r="T440" s="22">
        <f t="shared" si="138"/>
        <v>1900</v>
      </c>
      <c r="U440" s="22">
        <f t="shared" si="138"/>
        <v>1900</v>
      </c>
      <c r="W440" s="22" t="str">
        <f t="shared" si="136"/>
        <v>190000</v>
      </c>
      <c r="X440" s="22" t="str">
        <f t="shared" si="137"/>
        <v>190000</v>
      </c>
    </row>
    <row r="441" spans="2:24">
      <c r="B441" s="22"/>
      <c r="C441" s="22"/>
      <c r="D441" s="77"/>
      <c r="E441" s="54"/>
      <c r="F441" s="77"/>
      <c r="G441" s="77"/>
      <c r="H441" s="78"/>
      <c r="I441" s="54"/>
      <c r="J441" s="39"/>
      <c r="K441" s="54"/>
      <c r="P441" s="22">
        <f t="shared" si="132"/>
        <v>0</v>
      </c>
      <c r="Q441" s="22" t="str">
        <f t="shared" si="134"/>
        <v>00</v>
      </c>
      <c r="R441" s="22">
        <f t="shared" si="133"/>
        <v>0</v>
      </c>
      <c r="S441" s="22" t="str">
        <f t="shared" si="135"/>
        <v>00</v>
      </c>
      <c r="T441" s="22">
        <f t="shared" si="138"/>
        <v>1900</v>
      </c>
      <c r="U441" s="22">
        <f t="shared" si="138"/>
        <v>1900</v>
      </c>
      <c r="W441" s="22" t="str">
        <f t="shared" si="136"/>
        <v>190000</v>
      </c>
      <c r="X441" s="22" t="str">
        <f t="shared" si="137"/>
        <v>190000</v>
      </c>
    </row>
    <row r="442" spans="2:24">
      <c r="B442" s="22"/>
      <c r="C442" s="22"/>
      <c r="D442" s="77"/>
      <c r="E442" s="54"/>
      <c r="F442" s="77"/>
      <c r="G442" s="77"/>
      <c r="H442" s="78"/>
      <c r="I442" s="54"/>
      <c r="J442" s="39"/>
      <c r="K442" s="54"/>
      <c r="P442" s="22">
        <f t="shared" si="132"/>
        <v>0</v>
      </c>
      <c r="Q442" s="22" t="str">
        <f t="shared" si="134"/>
        <v>00</v>
      </c>
      <c r="R442" s="22">
        <f t="shared" si="133"/>
        <v>0</v>
      </c>
      <c r="S442" s="22" t="str">
        <f t="shared" si="135"/>
        <v>00</v>
      </c>
      <c r="T442" s="22">
        <f t="shared" si="138"/>
        <v>1900</v>
      </c>
      <c r="U442" s="22">
        <f t="shared" si="138"/>
        <v>1900</v>
      </c>
      <c r="W442" s="22" t="str">
        <f t="shared" si="136"/>
        <v>190000</v>
      </c>
      <c r="X442" s="22" t="str">
        <f t="shared" si="137"/>
        <v>190000</v>
      </c>
    </row>
    <row r="443" spans="2:24">
      <c r="B443" s="22"/>
      <c r="C443" s="22"/>
      <c r="D443" s="77"/>
      <c r="E443" s="54"/>
      <c r="F443" s="77"/>
      <c r="G443" s="77"/>
      <c r="H443" s="78"/>
      <c r="I443" s="54"/>
      <c r="J443" s="39"/>
      <c r="K443" s="54"/>
      <c r="P443" s="22">
        <f t="shared" si="132"/>
        <v>0</v>
      </c>
      <c r="Q443" s="22" t="str">
        <f t="shared" si="134"/>
        <v>00</v>
      </c>
      <c r="R443" s="22">
        <f t="shared" si="133"/>
        <v>0</v>
      </c>
      <c r="S443" s="22" t="str">
        <f t="shared" si="135"/>
        <v>00</v>
      </c>
      <c r="T443" s="22">
        <f t="shared" si="138"/>
        <v>1900</v>
      </c>
      <c r="U443" s="22">
        <f t="shared" si="138"/>
        <v>1900</v>
      </c>
      <c r="W443" s="22" t="str">
        <f t="shared" si="136"/>
        <v>190000</v>
      </c>
      <c r="X443" s="22" t="str">
        <f t="shared" si="137"/>
        <v>190000</v>
      </c>
    </row>
    <row r="444" spans="2:24">
      <c r="B444" s="22"/>
      <c r="C444" s="22"/>
      <c r="D444" s="77"/>
      <c r="E444" s="54"/>
      <c r="F444" s="77"/>
      <c r="G444" s="77"/>
      <c r="H444" s="78"/>
      <c r="I444" s="54"/>
      <c r="J444" s="39"/>
      <c r="K444" s="54"/>
      <c r="P444" s="22">
        <f t="shared" si="132"/>
        <v>0</v>
      </c>
      <c r="Q444" s="22" t="str">
        <f t="shared" si="134"/>
        <v>00</v>
      </c>
      <c r="R444" s="22">
        <f t="shared" si="133"/>
        <v>0</v>
      </c>
      <c r="S444" s="22" t="str">
        <f t="shared" si="135"/>
        <v>00</v>
      </c>
      <c r="T444" s="22">
        <f t="shared" si="138"/>
        <v>1900</v>
      </c>
      <c r="U444" s="22">
        <f t="shared" si="138"/>
        <v>1900</v>
      </c>
      <c r="W444" s="22" t="str">
        <f t="shared" si="136"/>
        <v>190000</v>
      </c>
      <c r="X444" s="22" t="str">
        <f t="shared" si="137"/>
        <v>190000</v>
      </c>
    </row>
    <row r="445" spans="2:24">
      <c r="B445" s="22"/>
      <c r="C445" s="22"/>
      <c r="D445" s="77"/>
      <c r="E445" s="54"/>
      <c r="F445" s="77"/>
      <c r="G445" s="77"/>
      <c r="H445" s="78"/>
      <c r="I445" s="54"/>
      <c r="J445" s="39"/>
      <c r="K445" s="54"/>
      <c r="P445" s="22">
        <f t="shared" si="132"/>
        <v>0</v>
      </c>
      <c r="Q445" s="22" t="str">
        <f t="shared" si="134"/>
        <v>00</v>
      </c>
      <c r="R445" s="22">
        <f t="shared" si="133"/>
        <v>0</v>
      </c>
      <c r="S445" s="22" t="str">
        <f t="shared" si="135"/>
        <v>00</v>
      </c>
      <c r="T445" s="22">
        <f t="shared" si="138"/>
        <v>1900</v>
      </c>
      <c r="U445" s="22">
        <f t="shared" si="138"/>
        <v>1900</v>
      </c>
      <c r="W445" s="22" t="str">
        <f t="shared" si="136"/>
        <v>190000</v>
      </c>
      <c r="X445" s="22" t="str">
        <f t="shared" si="137"/>
        <v>190000</v>
      </c>
    </row>
    <row r="446" spans="2:24">
      <c r="B446" s="22"/>
      <c r="C446" s="22"/>
      <c r="D446" s="77"/>
      <c r="E446" s="54"/>
      <c r="F446" s="77"/>
      <c r="G446" s="77"/>
      <c r="H446" s="78"/>
      <c r="I446" s="54"/>
      <c r="J446" s="39"/>
      <c r="K446" s="54"/>
      <c r="P446" s="22">
        <f t="shared" si="132"/>
        <v>0</v>
      </c>
      <c r="Q446" s="22" t="str">
        <f t="shared" si="134"/>
        <v>00</v>
      </c>
      <c r="R446" s="22">
        <f t="shared" si="133"/>
        <v>0</v>
      </c>
      <c r="S446" s="22" t="str">
        <f t="shared" si="135"/>
        <v>00</v>
      </c>
      <c r="T446" s="22">
        <f t="shared" si="138"/>
        <v>1900</v>
      </c>
      <c r="U446" s="22">
        <f t="shared" si="138"/>
        <v>1900</v>
      </c>
      <c r="W446" s="22" t="str">
        <f t="shared" si="136"/>
        <v>190000</v>
      </c>
      <c r="X446" s="22" t="str">
        <f t="shared" si="137"/>
        <v>190000</v>
      </c>
    </row>
    <row r="447" spans="2:24">
      <c r="B447" s="22"/>
      <c r="C447" s="22"/>
      <c r="D447" s="77"/>
      <c r="E447" s="54"/>
      <c r="F447" s="77"/>
      <c r="G447" s="77"/>
      <c r="H447" s="78"/>
      <c r="I447" s="54"/>
      <c r="J447" s="39"/>
      <c r="K447" s="54"/>
      <c r="P447" s="22">
        <f t="shared" si="132"/>
        <v>0</v>
      </c>
      <c r="Q447" s="22" t="str">
        <f t="shared" si="134"/>
        <v>00</v>
      </c>
      <c r="R447" s="22">
        <f t="shared" si="133"/>
        <v>0</v>
      </c>
      <c r="S447" s="22" t="str">
        <f t="shared" si="135"/>
        <v>00</v>
      </c>
      <c r="T447" s="22">
        <f t="shared" si="138"/>
        <v>1900</v>
      </c>
      <c r="U447" s="22">
        <f t="shared" si="138"/>
        <v>1900</v>
      </c>
      <c r="W447" s="22" t="str">
        <f t="shared" si="136"/>
        <v>190000</v>
      </c>
      <c r="X447" s="22" t="str">
        <f t="shared" si="137"/>
        <v>190000</v>
      </c>
    </row>
    <row r="448" spans="2:24">
      <c r="B448" s="22"/>
      <c r="C448" s="22"/>
      <c r="D448" s="77"/>
      <c r="E448" s="54"/>
      <c r="F448" s="77"/>
      <c r="G448" s="77"/>
      <c r="H448" s="78"/>
      <c r="I448" s="54"/>
      <c r="J448" s="39"/>
      <c r="K448" s="54"/>
      <c r="P448" s="22">
        <f t="shared" ref="P448:P511" si="139">WEEKNUM(F448,2)-1</f>
        <v>0</v>
      </c>
      <c r="Q448" s="22" t="str">
        <f t="shared" si="134"/>
        <v>00</v>
      </c>
      <c r="R448" s="22">
        <f t="shared" ref="R448:R511" si="140">WEEKNUM(G448,2)-1</f>
        <v>0</v>
      </c>
      <c r="S448" s="22" t="str">
        <f t="shared" si="135"/>
        <v>00</v>
      </c>
      <c r="T448" s="22">
        <f t="shared" si="138"/>
        <v>1900</v>
      </c>
      <c r="U448" s="22">
        <f t="shared" si="138"/>
        <v>1900</v>
      </c>
      <c r="W448" s="22" t="str">
        <f t="shared" si="136"/>
        <v>190000</v>
      </c>
      <c r="X448" s="22" t="str">
        <f t="shared" si="137"/>
        <v>190000</v>
      </c>
    </row>
    <row r="449" spans="2:24">
      <c r="B449" s="22"/>
      <c r="C449" s="22"/>
      <c r="D449" s="77"/>
      <c r="E449" s="54"/>
      <c r="F449" s="77"/>
      <c r="G449" s="77"/>
      <c r="H449" s="78"/>
      <c r="I449" s="54"/>
      <c r="J449" s="39"/>
      <c r="K449" s="54"/>
      <c r="P449" s="22">
        <f t="shared" si="139"/>
        <v>0</v>
      </c>
      <c r="Q449" s="22" t="str">
        <f t="shared" si="134"/>
        <v>00</v>
      </c>
      <c r="R449" s="22">
        <f t="shared" si="140"/>
        <v>0</v>
      </c>
      <c r="S449" s="22" t="str">
        <f t="shared" si="135"/>
        <v>00</v>
      </c>
      <c r="T449" s="22">
        <f t="shared" si="138"/>
        <v>1900</v>
      </c>
      <c r="U449" s="22">
        <f t="shared" si="138"/>
        <v>1900</v>
      </c>
      <c r="W449" s="22" t="str">
        <f t="shared" si="136"/>
        <v>190000</v>
      </c>
      <c r="X449" s="22" t="str">
        <f t="shared" si="137"/>
        <v>190000</v>
      </c>
    </row>
    <row r="450" spans="2:24">
      <c r="B450" s="22"/>
      <c r="C450" s="22"/>
      <c r="D450" s="77"/>
      <c r="E450" s="54"/>
      <c r="F450" s="77"/>
      <c r="G450" s="77"/>
      <c r="H450" s="78"/>
      <c r="I450" s="54"/>
      <c r="J450" s="39"/>
      <c r="K450" s="54"/>
      <c r="P450" s="22">
        <f t="shared" si="139"/>
        <v>0</v>
      </c>
      <c r="Q450" s="22" t="str">
        <f t="shared" si="134"/>
        <v>00</v>
      </c>
      <c r="R450" s="22">
        <f t="shared" si="140"/>
        <v>0</v>
      </c>
      <c r="S450" s="22" t="str">
        <f t="shared" si="135"/>
        <v>00</v>
      </c>
      <c r="T450" s="22">
        <f t="shared" si="138"/>
        <v>1900</v>
      </c>
      <c r="U450" s="22">
        <f t="shared" si="138"/>
        <v>1900</v>
      </c>
      <c r="W450" s="22" t="str">
        <f t="shared" si="136"/>
        <v>190000</v>
      </c>
      <c r="X450" s="22" t="str">
        <f t="shared" si="137"/>
        <v>190000</v>
      </c>
    </row>
    <row r="451" spans="2:24">
      <c r="B451" s="22"/>
      <c r="C451" s="22"/>
      <c r="D451" s="77"/>
      <c r="E451" s="54"/>
      <c r="F451" s="77"/>
      <c r="G451" s="77"/>
      <c r="H451" s="78"/>
      <c r="I451" s="54"/>
      <c r="J451" s="39"/>
      <c r="K451" s="54"/>
      <c r="P451" s="22">
        <f t="shared" si="139"/>
        <v>0</v>
      </c>
      <c r="Q451" s="22" t="str">
        <f t="shared" ref="Q451:Q514" si="141">TEXT(P451,"00")</f>
        <v>00</v>
      </c>
      <c r="R451" s="22">
        <f t="shared" si="140"/>
        <v>0</v>
      </c>
      <c r="S451" s="22" t="str">
        <f t="shared" ref="S451:S514" si="142">TEXT(R451,"00")</f>
        <v>00</v>
      </c>
      <c r="T451" s="22">
        <f t="shared" si="138"/>
        <v>1900</v>
      </c>
      <c r="U451" s="22">
        <f t="shared" si="138"/>
        <v>1900</v>
      </c>
      <c r="W451" s="22" t="str">
        <f t="shared" ref="W451:W514" si="143">T451&amp;Q451</f>
        <v>190000</v>
      </c>
      <c r="X451" s="22" t="str">
        <f t="shared" ref="X451:X514" si="144">U451&amp;S451</f>
        <v>190000</v>
      </c>
    </row>
    <row r="452" spans="2:24">
      <c r="B452" s="22"/>
      <c r="C452" s="22"/>
      <c r="D452" s="77"/>
      <c r="E452" s="54"/>
      <c r="F452" s="77"/>
      <c r="G452" s="77"/>
      <c r="H452" s="78"/>
      <c r="I452" s="54"/>
      <c r="J452" s="39"/>
      <c r="K452" s="54"/>
      <c r="P452" s="22">
        <f t="shared" si="139"/>
        <v>0</v>
      </c>
      <c r="Q452" s="22" t="str">
        <f t="shared" si="141"/>
        <v>00</v>
      </c>
      <c r="R452" s="22">
        <f t="shared" si="140"/>
        <v>0</v>
      </c>
      <c r="S452" s="22" t="str">
        <f t="shared" si="142"/>
        <v>00</v>
      </c>
      <c r="T452" s="22">
        <f t="shared" si="138"/>
        <v>1900</v>
      </c>
      <c r="U452" s="22">
        <f t="shared" si="138"/>
        <v>1900</v>
      </c>
      <c r="W452" s="22" t="str">
        <f t="shared" si="143"/>
        <v>190000</v>
      </c>
      <c r="X452" s="22" t="str">
        <f t="shared" si="144"/>
        <v>190000</v>
      </c>
    </row>
    <row r="453" spans="2:24">
      <c r="B453" s="22"/>
      <c r="C453" s="22"/>
      <c r="D453" s="77"/>
      <c r="E453" s="54"/>
      <c r="F453" s="77"/>
      <c r="G453" s="77"/>
      <c r="H453" s="78"/>
      <c r="I453" s="54"/>
      <c r="J453" s="39"/>
      <c r="K453" s="54"/>
      <c r="P453" s="22">
        <f t="shared" si="139"/>
        <v>0</v>
      </c>
      <c r="Q453" s="22" t="str">
        <f t="shared" si="141"/>
        <v>00</v>
      </c>
      <c r="R453" s="22">
        <f t="shared" si="140"/>
        <v>0</v>
      </c>
      <c r="S453" s="22" t="str">
        <f t="shared" si="142"/>
        <v>00</v>
      </c>
      <c r="T453" s="22">
        <f t="shared" si="138"/>
        <v>1900</v>
      </c>
      <c r="U453" s="22">
        <f t="shared" si="138"/>
        <v>1900</v>
      </c>
      <c r="W453" s="22" t="str">
        <f t="shared" si="143"/>
        <v>190000</v>
      </c>
      <c r="X453" s="22" t="str">
        <f t="shared" si="144"/>
        <v>190000</v>
      </c>
    </row>
    <row r="454" spans="2:24">
      <c r="B454" s="22"/>
      <c r="C454" s="22"/>
      <c r="D454" s="77"/>
      <c r="E454" s="54"/>
      <c r="F454" s="77"/>
      <c r="G454" s="77"/>
      <c r="H454" s="78"/>
      <c r="I454" s="54"/>
      <c r="J454" s="39"/>
      <c r="K454" s="54"/>
      <c r="P454" s="22">
        <f t="shared" si="139"/>
        <v>0</v>
      </c>
      <c r="Q454" s="22" t="str">
        <f t="shared" si="141"/>
        <v>00</v>
      </c>
      <c r="R454" s="22">
        <f t="shared" si="140"/>
        <v>0</v>
      </c>
      <c r="S454" s="22" t="str">
        <f t="shared" si="142"/>
        <v>00</v>
      </c>
      <c r="T454" s="22">
        <f t="shared" si="138"/>
        <v>1900</v>
      </c>
      <c r="U454" s="22">
        <f t="shared" si="138"/>
        <v>1900</v>
      </c>
      <c r="W454" s="22" t="str">
        <f t="shared" si="143"/>
        <v>190000</v>
      </c>
      <c r="X454" s="22" t="str">
        <f t="shared" si="144"/>
        <v>190000</v>
      </c>
    </row>
    <row r="455" spans="2:24">
      <c r="B455" s="22"/>
      <c r="C455" s="22"/>
      <c r="D455" s="77"/>
      <c r="E455" s="54"/>
      <c r="F455" s="77"/>
      <c r="G455" s="77"/>
      <c r="H455" s="78"/>
      <c r="I455" s="54"/>
      <c r="J455" s="39"/>
      <c r="K455" s="54"/>
      <c r="P455" s="22">
        <f t="shared" si="139"/>
        <v>0</v>
      </c>
      <c r="Q455" s="22" t="str">
        <f t="shared" si="141"/>
        <v>00</v>
      </c>
      <c r="R455" s="22">
        <f t="shared" si="140"/>
        <v>0</v>
      </c>
      <c r="S455" s="22" t="str">
        <f t="shared" si="142"/>
        <v>00</v>
      </c>
      <c r="T455" s="22">
        <f t="shared" si="138"/>
        <v>1900</v>
      </c>
      <c r="U455" s="22">
        <f t="shared" si="138"/>
        <v>1900</v>
      </c>
      <c r="W455" s="22" t="str">
        <f t="shared" si="143"/>
        <v>190000</v>
      </c>
      <c r="X455" s="22" t="str">
        <f t="shared" si="144"/>
        <v>190000</v>
      </c>
    </row>
    <row r="456" spans="2:24">
      <c r="B456" s="22"/>
      <c r="C456" s="22"/>
      <c r="D456" s="77"/>
      <c r="E456" s="54"/>
      <c r="F456" s="77"/>
      <c r="G456" s="77"/>
      <c r="H456" s="78"/>
      <c r="I456" s="54"/>
      <c r="J456" s="39"/>
      <c r="K456" s="54"/>
      <c r="P456" s="22">
        <f t="shared" si="139"/>
        <v>0</v>
      </c>
      <c r="Q456" s="22" t="str">
        <f t="shared" si="141"/>
        <v>00</v>
      </c>
      <c r="R456" s="22">
        <f t="shared" si="140"/>
        <v>0</v>
      </c>
      <c r="S456" s="22" t="str">
        <f t="shared" si="142"/>
        <v>00</v>
      </c>
      <c r="T456" s="22">
        <f t="shared" si="138"/>
        <v>1900</v>
      </c>
      <c r="U456" s="22">
        <f t="shared" si="138"/>
        <v>1900</v>
      </c>
      <c r="W456" s="22" t="str">
        <f t="shared" si="143"/>
        <v>190000</v>
      </c>
      <c r="X456" s="22" t="str">
        <f t="shared" si="144"/>
        <v>190000</v>
      </c>
    </row>
    <row r="457" spans="2:24">
      <c r="B457" s="22"/>
      <c r="C457" s="22"/>
      <c r="D457" s="77"/>
      <c r="E457" s="54"/>
      <c r="F457" s="77"/>
      <c r="G457" s="77"/>
      <c r="H457" s="78"/>
      <c r="I457" s="54"/>
      <c r="J457" s="39"/>
      <c r="K457" s="54"/>
      <c r="P457" s="22">
        <f t="shared" si="139"/>
        <v>0</v>
      </c>
      <c r="Q457" s="22" t="str">
        <f t="shared" si="141"/>
        <v>00</v>
      </c>
      <c r="R457" s="22">
        <f t="shared" si="140"/>
        <v>0</v>
      </c>
      <c r="S457" s="22" t="str">
        <f t="shared" si="142"/>
        <v>00</v>
      </c>
      <c r="T457" s="22">
        <f t="shared" si="138"/>
        <v>1900</v>
      </c>
      <c r="U457" s="22">
        <f t="shared" si="138"/>
        <v>1900</v>
      </c>
      <c r="W457" s="22" t="str">
        <f t="shared" si="143"/>
        <v>190000</v>
      </c>
      <c r="X457" s="22" t="str">
        <f t="shared" si="144"/>
        <v>190000</v>
      </c>
    </row>
    <row r="458" spans="2:24">
      <c r="B458" s="22"/>
      <c r="C458" s="22"/>
      <c r="D458" s="77"/>
      <c r="E458" s="54"/>
      <c r="F458" s="77"/>
      <c r="G458" s="77"/>
      <c r="H458" s="78"/>
      <c r="I458" s="54"/>
      <c r="J458" s="39"/>
      <c r="K458" s="54"/>
      <c r="P458" s="22">
        <f t="shared" si="139"/>
        <v>0</v>
      </c>
      <c r="Q458" s="22" t="str">
        <f t="shared" si="141"/>
        <v>00</v>
      </c>
      <c r="R458" s="22">
        <f t="shared" si="140"/>
        <v>0</v>
      </c>
      <c r="S458" s="22" t="str">
        <f t="shared" si="142"/>
        <v>00</v>
      </c>
      <c r="T458" s="22">
        <f t="shared" si="138"/>
        <v>1900</v>
      </c>
      <c r="U458" s="22">
        <f t="shared" si="138"/>
        <v>1900</v>
      </c>
      <c r="W458" s="22" t="str">
        <f t="shared" si="143"/>
        <v>190000</v>
      </c>
      <c r="X458" s="22" t="str">
        <f t="shared" si="144"/>
        <v>190000</v>
      </c>
    </row>
    <row r="459" spans="2:24">
      <c r="B459" s="22"/>
      <c r="C459" s="22"/>
      <c r="D459" s="77"/>
      <c r="E459" s="54"/>
      <c r="F459" s="77"/>
      <c r="G459" s="77"/>
      <c r="H459" s="78"/>
      <c r="I459" s="54"/>
      <c r="J459" s="39"/>
      <c r="K459" s="54"/>
      <c r="P459" s="22">
        <f t="shared" si="139"/>
        <v>0</v>
      </c>
      <c r="Q459" s="22" t="str">
        <f t="shared" si="141"/>
        <v>00</v>
      </c>
      <c r="R459" s="22">
        <f t="shared" si="140"/>
        <v>0</v>
      </c>
      <c r="S459" s="22" t="str">
        <f t="shared" si="142"/>
        <v>00</v>
      </c>
      <c r="T459" s="22">
        <f t="shared" si="138"/>
        <v>1900</v>
      </c>
      <c r="U459" s="22">
        <f t="shared" si="138"/>
        <v>1900</v>
      </c>
      <c r="W459" s="22" t="str">
        <f t="shared" si="143"/>
        <v>190000</v>
      </c>
      <c r="X459" s="22" t="str">
        <f t="shared" si="144"/>
        <v>190000</v>
      </c>
    </row>
    <row r="460" spans="2:24">
      <c r="B460" s="22"/>
      <c r="C460" s="22"/>
      <c r="D460" s="77"/>
      <c r="E460" s="54"/>
      <c r="F460" s="77"/>
      <c r="G460" s="77"/>
      <c r="H460" s="78"/>
      <c r="I460" s="54"/>
      <c r="J460" s="39"/>
      <c r="K460" s="54"/>
      <c r="P460" s="22">
        <f t="shared" si="139"/>
        <v>0</v>
      </c>
      <c r="Q460" s="22" t="str">
        <f t="shared" si="141"/>
        <v>00</v>
      </c>
      <c r="R460" s="22">
        <f t="shared" si="140"/>
        <v>0</v>
      </c>
      <c r="S460" s="22" t="str">
        <f t="shared" si="142"/>
        <v>00</v>
      </c>
      <c r="T460" s="22">
        <f t="shared" si="138"/>
        <v>1900</v>
      </c>
      <c r="U460" s="22">
        <f t="shared" si="138"/>
        <v>1900</v>
      </c>
      <c r="W460" s="22" t="str">
        <f t="shared" si="143"/>
        <v>190000</v>
      </c>
      <c r="X460" s="22" t="str">
        <f t="shared" si="144"/>
        <v>190000</v>
      </c>
    </row>
    <row r="461" spans="2:24">
      <c r="B461" s="22"/>
      <c r="C461" s="22"/>
      <c r="D461" s="77"/>
      <c r="E461" s="54"/>
      <c r="F461" s="77"/>
      <c r="G461" s="77"/>
      <c r="H461" s="78"/>
      <c r="I461" s="54"/>
      <c r="J461" s="39"/>
      <c r="K461" s="54"/>
      <c r="P461" s="22">
        <f t="shared" si="139"/>
        <v>0</v>
      </c>
      <c r="Q461" s="22" t="str">
        <f t="shared" si="141"/>
        <v>00</v>
      </c>
      <c r="R461" s="22">
        <f t="shared" si="140"/>
        <v>0</v>
      </c>
      <c r="S461" s="22" t="str">
        <f t="shared" si="142"/>
        <v>00</v>
      </c>
      <c r="T461" s="22">
        <f t="shared" si="138"/>
        <v>1900</v>
      </c>
      <c r="U461" s="22">
        <f t="shared" si="138"/>
        <v>1900</v>
      </c>
      <c r="W461" s="22" t="str">
        <f t="shared" si="143"/>
        <v>190000</v>
      </c>
      <c r="X461" s="22" t="str">
        <f t="shared" si="144"/>
        <v>190000</v>
      </c>
    </row>
    <row r="462" spans="2:24">
      <c r="B462" s="22"/>
      <c r="C462" s="22"/>
      <c r="D462" s="77"/>
      <c r="E462" s="54"/>
      <c r="F462" s="77"/>
      <c r="G462" s="77"/>
      <c r="H462" s="78"/>
      <c r="I462" s="54"/>
      <c r="J462" s="39"/>
      <c r="K462" s="54"/>
      <c r="P462" s="22">
        <f t="shared" si="139"/>
        <v>0</v>
      </c>
      <c r="Q462" s="22" t="str">
        <f t="shared" si="141"/>
        <v>00</v>
      </c>
      <c r="R462" s="22">
        <f t="shared" si="140"/>
        <v>0</v>
      </c>
      <c r="S462" s="22" t="str">
        <f t="shared" si="142"/>
        <v>00</v>
      </c>
      <c r="T462" s="22">
        <f t="shared" si="138"/>
        <v>1900</v>
      </c>
      <c r="U462" s="22">
        <f t="shared" si="138"/>
        <v>1900</v>
      </c>
      <c r="W462" s="22" t="str">
        <f t="shared" si="143"/>
        <v>190000</v>
      </c>
      <c r="X462" s="22" t="str">
        <f t="shared" si="144"/>
        <v>190000</v>
      </c>
    </row>
    <row r="463" spans="2:24">
      <c r="B463" s="22"/>
      <c r="C463" s="22"/>
      <c r="D463" s="77"/>
      <c r="E463" s="54"/>
      <c r="F463" s="77"/>
      <c r="G463" s="77"/>
      <c r="H463" s="78"/>
      <c r="I463" s="54"/>
      <c r="J463" s="39"/>
      <c r="K463" s="54"/>
      <c r="P463" s="22">
        <f t="shared" si="139"/>
        <v>0</v>
      </c>
      <c r="Q463" s="22" t="str">
        <f t="shared" si="141"/>
        <v>00</v>
      </c>
      <c r="R463" s="22">
        <f t="shared" si="140"/>
        <v>0</v>
      </c>
      <c r="S463" s="22" t="str">
        <f t="shared" si="142"/>
        <v>00</v>
      </c>
      <c r="T463" s="22">
        <f t="shared" si="138"/>
        <v>1900</v>
      </c>
      <c r="U463" s="22">
        <f t="shared" si="138"/>
        <v>1900</v>
      </c>
      <c r="W463" s="22" t="str">
        <f t="shared" si="143"/>
        <v>190000</v>
      </c>
      <c r="X463" s="22" t="str">
        <f t="shared" si="144"/>
        <v>190000</v>
      </c>
    </row>
    <row r="464" spans="2:24">
      <c r="B464" s="22"/>
      <c r="C464" s="22"/>
      <c r="D464" s="77"/>
      <c r="E464" s="54"/>
      <c r="F464" s="77"/>
      <c r="G464" s="77"/>
      <c r="H464" s="78"/>
      <c r="I464" s="54"/>
      <c r="J464" s="39"/>
      <c r="K464" s="54"/>
      <c r="P464" s="22">
        <f t="shared" si="139"/>
        <v>0</v>
      </c>
      <c r="Q464" s="22" t="str">
        <f t="shared" si="141"/>
        <v>00</v>
      </c>
      <c r="R464" s="22">
        <f t="shared" si="140"/>
        <v>0</v>
      </c>
      <c r="S464" s="22" t="str">
        <f t="shared" si="142"/>
        <v>00</v>
      </c>
      <c r="T464" s="22">
        <f t="shared" si="138"/>
        <v>1900</v>
      </c>
      <c r="U464" s="22">
        <f t="shared" si="138"/>
        <v>1900</v>
      </c>
      <c r="W464" s="22" t="str">
        <f t="shared" si="143"/>
        <v>190000</v>
      </c>
      <c r="X464" s="22" t="str">
        <f t="shared" si="144"/>
        <v>190000</v>
      </c>
    </row>
    <row r="465" spans="2:24">
      <c r="B465" s="22"/>
      <c r="C465" s="22"/>
      <c r="D465" s="77"/>
      <c r="E465" s="54"/>
      <c r="F465" s="77"/>
      <c r="G465" s="77"/>
      <c r="H465" s="78"/>
      <c r="I465" s="54"/>
      <c r="J465" s="39"/>
      <c r="K465" s="54"/>
      <c r="P465" s="22">
        <f t="shared" si="139"/>
        <v>0</v>
      </c>
      <c r="Q465" s="22" t="str">
        <f t="shared" si="141"/>
        <v>00</v>
      </c>
      <c r="R465" s="22">
        <f t="shared" si="140"/>
        <v>0</v>
      </c>
      <c r="S465" s="22" t="str">
        <f t="shared" si="142"/>
        <v>00</v>
      </c>
      <c r="T465" s="22">
        <f t="shared" si="138"/>
        <v>1900</v>
      </c>
      <c r="U465" s="22">
        <f t="shared" si="138"/>
        <v>1900</v>
      </c>
      <c r="W465" s="22" t="str">
        <f t="shared" si="143"/>
        <v>190000</v>
      </c>
      <c r="X465" s="22" t="str">
        <f t="shared" si="144"/>
        <v>190000</v>
      </c>
    </row>
    <row r="466" spans="2:24">
      <c r="B466" s="22"/>
      <c r="C466" s="22"/>
      <c r="D466" s="77"/>
      <c r="E466" s="54"/>
      <c r="F466" s="77"/>
      <c r="G466" s="77"/>
      <c r="H466" s="78"/>
      <c r="I466" s="54"/>
      <c r="J466" s="39"/>
      <c r="K466" s="54"/>
      <c r="P466" s="22">
        <f t="shared" si="139"/>
        <v>0</v>
      </c>
      <c r="Q466" s="22" t="str">
        <f t="shared" si="141"/>
        <v>00</v>
      </c>
      <c r="R466" s="22">
        <f t="shared" si="140"/>
        <v>0</v>
      </c>
      <c r="S466" s="22" t="str">
        <f t="shared" si="142"/>
        <v>00</v>
      </c>
      <c r="T466" s="22">
        <f t="shared" si="138"/>
        <v>1900</v>
      </c>
      <c r="U466" s="22">
        <f t="shared" si="138"/>
        <v>1900</v>
      </c>
      <c r="W466" s="22" t="str">
        <f t="shared" si="143"/>
        <v>190000</v>
      </c>
      <c r="X466" s="22" t="str">
        <f t="shared" si="144"/>
        <v>190000</v>
      </c>
    </row>
    <row r="467" spans="2:24">
      <c r="B467" s="22"/>
      <c r="C467" s="22"/>
      <c r="D467" s="77"/>
      <c r="E467" s="54"/>
      <c r="F467" s="77"/>
      <c r="G467" s="77"/>
      <c r="H467" s="78"/>
      <c r="I467" s="54"/>
      <c r="J467" s="39"/>
      <c r="K467" s="54"/>
      <c r="P467" s="22">
        <f t="shared" si="139"/>
        <v>0</v>
      </c>
      <c r="Q467" s="22" t="str">
        <f t="shared" si="141"/>
        <v>00</v>
      </c>
      <c r="R467" s="22">
        <f t="shared" si="140"/>
        <v>0</v>
      </c>
      <c r="S467" s="22" t="str">
        <f t="shared" si="142"/>
        <v>00</v>
      </c>
      <c r="T467" s="22">
        <f t="shared" si="138"/>
        <v>1900</v>
      </c>
      <c r="U467" s="22">
        <f t="shared" si="138"/>
        <v>1900</v>
      </c>
      <c r="W467" s="22" t="str">
        <f t="shared" si="143"/>
        <v>190000</v>
      </c>
      <c r="X467" s="22" t="str">
        <f t="shared" si="144"/>
        <v>190000</v>
      </c>
    </row>
    <row r="468" spans="2:24">
      <c r="B468" s="22"/>
      <c r="C468" s="22"/>
      <c r="D468" s="77"/>
      <c r="E468" s="54"/>
      <c r="F468" s="77"/>
      <c r="G468" s="77"/>
      <c r="H468" s="78"/>
      <c r="I468" s="54"/>
      <c r="J468" s="39"/>
      <c r="K468" s="54"/>
      <c r="P468" s="22">
        <f t="shared" si="139"/>
        <v>0</v>
      </c>
      <c r="Q468" s="22" t="str">
        <f t="shared" si="141"/>
        <v>00</v>
      </c>
      <c r="R468" s="22">
        <f t="shared" si="140"/>
        <v>0</v>
      </c>
      <c r="S468" s="22" t="str">
        <f t="shared" si="142"/>
        <v>00</v>
      </c>
      <c r="T468" s="22">
        <f t="shared" ref="T468:U531" si="145">YEAR(F468)</f>
        <v>1900</v>
      </c>
      <c r="U468" s="22">
        <f t="shared" si="145"/>
        <v>1900</v>
      </c>
      <c r="W468" s="22" t="str">
        <f t="shared" si="143"/>
        <v>190000</v>
      </c>
      <c r="X468" s="22" t="str">
        <f t="shared" si="144"/>
        <v>190000</v>
      </c>
    </row>
    <row r="469" spans="2:24">
      <c r="B469" s="22"/>
      <c r="C469" s="22"/>
      <c r="D469" s="77"/>
      <c r="E469" s="54"/>
      <c r="F469" s="77"/>
      <c r="G469" s="77"/>
      <c r="H469" s="78"/>
      <c r="I469" s="54"/>
      <c r="J469" s="39"/>
      <c r="K469" s="54"/>
      <c r="P469" s="22">
        <f t="shared" si="139"/>
        <v>0</v>
      </c>
      <c r="Q469" s="22" t="str">
        <f t="shared" si="141"/>
        <v>00</v>
      </c>
      <c r="R469" s="22">
        <f t="shared" si="140"/>
        <v>0</v>
      </c>
      <c r="S469" s="22" t="str">
        <f t="shared" si="142"/>
        <v>00</v>
      </c>
      <c r="T469" s="22">
        <f t="shared" si="145"/>
        <v>1900</v>
      </c>
      <c r="U469" s="22">
        <f t="shared" si="145"/>
        <v>1900</v>
      </c>
      <c r="W469" s="22" t="str">
        <f t="shared" si="143"/>
        <v>190000</v>
      </c>
      <c r="X469" s="22" t="str">
        <f t="shared" si="144"/>
        <v>190000</v>
      </c>
    </row>
    <row r="470" spans="2:24">
      <c r="B470" s="22"/>
      <c r="C470" s="22"/>
      <c r="D470" s="77"/>
      <c r="E470" s="54"/>
      <c r="F470" s="77"/>
      <c r="G470" s="77"/>
      <c r="H470" s="78"/>
      <c r="I470" s="54"/>
      <c r="J470" s="39"/>
      <c r="K470" s="54"/>
      <c r="P470" s="22">
        <f t="shared" si="139"/>
        <v>0</v>
      </c>
      <c r="Q470" s="22" t="str">
        <f t="shared" si="141"/>
        <v>00</v>
      </c>
      <c r="R470" s="22">
        <f t="shared" si="140"/>
        <v>0</v>
      </c>
      <c r="S470" s="22" t="str">
        <f t="shared" si="142"/>
        <v>00</v>
      </c>
      <c r="T470" s="22">
        <f t="shared" si="145"/>
        <v>1900</v>
      </c>
      <c r="U470" s="22">
        <f t="shared" si="145"/>
        <v>1900</v>
      </c>
      <c r="W470" s="22" t="str">
        <f t="shared" si="143"/>
        <v>190000</v>
      </c>
      <c r="X470" s="22" t="str">
        <f t="shared" si="144"/>
        <v>190000</v>
      </c>
    </row>
    <row r="471" spans="2:24">
      <c r="B471" s="22"/>
      <c r="C471" s="22"/>
      <c r="D471" s="77"/>
      <c r="E471" s="54"/>
      <c r="F471" s="77"/>
      <c r="G471" s="77"/>
      <c r="H471" s="78"/>
      <c r="I471" s="54"/>
      <c r="J471" s="39"/>
      <c r="K471" s="54"/>
      <c r="P471" s="22">
        <f t="shared" si="139"/>
        <v>0</v>
      </c>
      <c r="Q471" s="22" t="str">
        <f t="shared" si="141"/>
        <v>00</v>
      </c>
      <c r="R471" s="22">
        <f t="shared" si="140"/>
        <v>0</v>
      </c>
      <c r="S471" s="22" t="str">
        <f t="shared" si="142"/>
        <v>00</v>
      </c>
      <c r="T471" s="22">
        <f t="shared" si="145"/>
        <v>1900</v>
      </c>
      <c r="U471" s="22">
        <f t="shared" si="145"/>
        <v>1900</v>
      </c>
      <c r="W471" s="22" t="str">
        <f t="shared" si="143"/>
        <v>190000</v>
      </c>
      <c r="X471" s="22" t="str">
        <f t="shared" si="144"/>
        <v>190000</v>
      </c>
    </row>
    <row r="472" spans="2:24">
      <c r="B472" s="22"/>
      <c r="C472" s="22"/>
      <c r="D472" s="77"/>
      <c r="E472" s="54"/>
      <c r="F472" s="77"/>
      <c r="G472" s="77"/>
      <c r="H472" s="78"/>
      <c r="I472" s="54"/>
      <c r="J472" s="39"/>
      <c r="K472" s="54"/>
      <c r="P472" s="22">
        <f t="shared" si="139"/>
        <v>0</v>
      </c>
      <c r="Q472" s="22" t="str">
        <f t="shared" si="141"/>
        <v>00</v>
      </c>
      <c r="R472" s="22">
        <f t="shared" si="140"/>
        <v>0</v>
      </c>
      <c r="S472" s="22" t="str">
        <f t="shared" si="142"/>
        <v>00</v>
      </c>
      <c r="T472" s="22">
        <f t="shared" si="145"/>
        <v>1900</v>
      </c>
      <c r="U472" s="22">
        <f t="shared" si="145"/>
        <v>1900</v>
      </c>
      <c r="W472" s="22" t="str">
        <f t="shared" si="143"/>
        <v>190000</v>
      </c>
      <c r="X472" s="22" t="str">
        <f t="shared" si="144"/>
        <v>190000</v>
      </c>
    </row>
    <row r="473" spans="2:24">
      <c r="B473" s="22"/>
      <c r="C473" s="22"/>
      <c r="D473" s="77"/>
      <c r="E473" s="54"/>
      <c r="F473" s="77"/>
      <c r="G473" s="77"/>
      <c r="H473" s="78"/>
      <c r="I473" s="54"/>
      <c r="J473" s="39"/>
      <c r="K473" s="54"/>
      <c r="P473" s="22">
        <f t="shared" si="139"/>
        <v>0</v>
      </c>
      <c r="Q473" s="22" t="str">
        <f t="shared" si="141"/>
        <v>00</v>
      </c>
      <c r="R473" s="22">
        <f t="shared" si="140"/>
        <v>0</v>
      </c>
      <c r="S473" s="22" t="str">
        <f t="shared" si="142"/>
        <v>00</v>
      </c>
      <c r="T473" s="22">
        <f t="shared" si="145"/>
        <v>1900</v>
      </c>
      <c r="U473" s="22">
        <f t="shared" si="145"/>
        <v>1900</v>
      </c>
      <c r="W473" s="22" t="str">
        <f t="shared" si="143"/>
        <v>190000</v>
      </c>
      <c r="X473" s="22" t="str">
        <f t="shared" si="144"/>
        <v>190000</v>
      </c>
    </row>
    <row r="474" spans="2:24">
      <c r="B474" s="22"/>
      <c r="C474" s="22"/>
      <c r="D474" s="77"/>
      <c r="E474" s="54"/>
      <c r="F474" s="77"/>
      <c r="G474" s="77"/>
      <c r="H474" s="78"/>
      <c r="I474" s="54"/>
      <c r="J474" s="39"/>
      <c r="K474" s="54"/>
      <c r="P474" s="22">
        <f t="shared" si="139"/>
        <v>0</v>
      </c>
      <c r="Q474" s="22" t="str">
        <f t="shared" si="141"/>
        <v>00</v>
      </c>
      <c r="R474" s="22">
        <f t="shared" si="140"/>
        <v>0</v>
      </c>
      <c r="S474" s="22" t="str">
        <f t="shared" si="142"/>
        <v>00</v>
      </c>
      <c r="T474" s="22">
        <f t="shared" si="145"/>
        <v>1900</v>
      </c>
      <c r="U474" s="22">
        <f t="shared" si="145"/>
        <v>1900</v>
      </c>
      <c r="W474" s="22" t="str">
        <f t="shared" si="143"/>
        <v>190000</v>
      </c>
      <c r="X474" s="22" t="str">
        <f t="shared" si="144"/>
        <v>190000</v>
      </c>
    </row>
    <row r="475" spans="2:24">
      <c r="B475" s="22"/>
      <c r="C475" s="22"/>
      <c r="D475" s="77"/>
      <c r="E475" s="54"/>
      <c r="F475" s="77"/>
      <c r="G475" s="77"/>
      <c r="H475" s="78"/>
      <c r="I475" s="54"/>
      <c r="J475" s="39"/>
      <c r="K475" s="54"/>
      <c r="P475" s="22">
        <f t="shared" si="139"/>
        <v>0</v>
      </c>
      <c r="Q475" s="22" t="str">
        <f t="shared" si="141"/>
        <v>00</v>
      </c>
      <c r="R475" s="22">
        <f t="shared" si="140"/>
        <v>0</v>
      </c>
      <c r="S475" s="22" t="str">
        <f t="shared" si="142"/>
        <v>00</v>
      </c>
      <c r="T475" s="22">
        <f t="shared" si="145"/>
        <v>1900</v>
      </c>
      <c r="U475" s="22">
        <f t="shared" si="145"/>
        <v>1900</v>
      </c>
      <c r="W475" s="22" t="str">
        <f t="shared" si="143"/>
        <v>190000</v>
      </c>
      <c r="X475" s="22" t="str">
        <f t="shared" si="144"/>
        <v>190000</v>
      </c>
    </row>
    <row r="476" spans="2:24">
      <c r="B476" s="22"/>
      <c r="C476" s="22"/>
      <c r="D476" s="77"/>
      <c r="E476" s="54"/>
      <c r="F476" s="77"/>
      <c r="G476" s="77"/>
      <c r="H476" s="78"/>
      <c r="I476" s="54"/>
      <c r="J476" s="39"/>
      <c r="K476" s="54"/>
      <c r="P476" s="22">
        <f t="shared" si="139"/>
        <v>0</v>
      </c>
      <c r="Q476" s="22" t="str">
        <f t="shared" si="141"/>
        <v>00</v>
      </c>
      <c r="R476" s="22">
        <f t="shared" si="140"/>
        <v>0</v>
      </c>
      <c r="S476" s="22" t="str">
        <f t="shared" si="142"/>
        <v>00</v>
      </c>
      <c r="T476" s="22">
        <f t="shared" si="145"/>
        <v>1900</v>
      </c>
      <c r="U476" s="22">
        <f t="shared" si="145"/>
        <v>1900</v>
      </c>
      <c r="W476" s="22" t="str">
        <f t="shared" si="143"/>
        <v>190000</v>
      </c>
      <c r="X476" s="22" t="str">
        <f t="shared" si="144"/>
        <v>190000</v>
      </c>
    </row>
    <row r="477" spans="2:24">
      <c r="B477" s="22"/>
      <c r="C477" s="22"/>
      <c r="D477" s="77"/>
      <c r="E477" s="54"/>
      <c r="F477" s="77"/>
      <c r="G477" s="77"/>
      <c r="H477" s="78"/>
      <c r="I477" s="54"/>
      <c r="J477" s="39"/>
      <c r="K477" s="54"/>
      <c r="P477" s="22">
        <f t="shared" si="139"/>
        <v>0</v>
      </c>
      <c r="Q477" s="22" t="str">
        <f t="shared" si="141"/>
        <v>00</v>
      </c>
      <c r="R477" s="22">
        <f t="shared" si="140"/>
        <v>0</v>
      </c>
      <c r="S477" s="22" t="str">
        <f t="shared" si="142"/>
        <v>00</v>
      </c>
      <c r="T477" s="22">
        <f t="shared" si="145"/>
        <v>1900</v>
      </c>
      <c r="U477" s="22">
        <f t="shared" si="145"/>
        <v>1900</v>
      </c>
      <c r="W477" s="22" t="str">
        <f t="shared" si="143"/>
        <v>190000</v>
      </c>
      <c r="X477" s="22" t="str">
        <f t="shared" si="144"/>
        <v>190000</v>
      </c>
    </row>
    <row r="478" spans="2:24">
      <c r="B478" s="22"/>
      <c r="C478" s="22"/>
      <c r="D478" s="77"/>
      <c r="E478" s="54"/>
      <c r="F478" s="77"/>
      <c r="G478" s="77"/>
      <c r="H478" s="78"/>
      <c r="I478" s="54"/>
      <c r="J478" s="39"/>
      <c r="K478" s="54"/>
      <c r="P478" s="22">
        <f t="shared" si="139"/>
        <v>0</v>
      </c>
      <c r="Q478" s="22" t="str">
        <f t="shared" si="141"/>
        <v>00</v>
      </c>
      <c r="R478" s="22">
        <f t="shared" si="140"/>
        <v>0</v>
      </c>
      <c r="S478" s="22" t="str">
        <f t="shared" si="142"/>
        <v>00</v>
      </c>
      <c r="T478" s="22">
        <f t="shared" si="145"/>
        <v>1900</v>
      </c>
      <c r="U478" s="22">
        <f t="shared" si="145"/>
        <v>1900</v>
      </c>
      <c r="W478" s="22" t="str">
        <f t="shared" si="143"/>
        <v>190000</v>
      </c>
      <c r="X478" s="22" t="str">
        <f t="shared" si="144"/>
        <v>190000</v>
      </c>
    </row>
    <row r="479" spans="2:24">
      <c r="B479" s="22"/>
      <c r="C479" s="22"/>
      <c r="D479" s="77"/>
      <c r="E479" s="54"/>
      <c r="F479" s="77"/>
      <c r="G479" s="77"/>
      <c r="H479" s="78"/>
      <c r="I479" s="54"/>
      <c r="J479" s="39"/>
      <c r="K479" s="54"/>
      <c r="P479" s="22">
        <f t="shared" si="139"/>
        <v>0</v>
      </c>
      <c r="Q479" s="22" t="str">
        <f t="shared" si="141"/>
        <v>00</v>
      </c>
      <c r="R479" s="22">
        <f t="shared" si="140"/>
        <v>0</v>
      </c>
      <c r="S479" s="22" t="str">
        <f t="shared" si="142"/>
        <v>00</v>
      </c>
      <c r="T479" s="22">
        <f t="shared" si="145"/>
        <v>1900</v>
      </c>
      <c r="U479" s="22">
        <f t="shared" si="145"/>
        <v>1900</v>
      </c>
      <c r="W479" s="22" t="str">
        <f t="shared" si="143"/>
        <v>190000</v>
      </c>
      <c r="X479" s="22" t="str">
        <f t="shared" si="144"/>
        <v>190000</v>
      </c>
    </row>
    <row r="480" spans="2:24">
      <c r="B480" s="22"/>
      <c r="C480" s="22"/>
      <c r="D480" s="77"/>
      <c r="E480" s="54"/>
      <c r="F480" s="77"/>
      <c r="G480" s="77"/>
      <c r="H480" s="78"/>
      <c r="I480" s="54"/>
      <c r="J480" s="39"/>
      <c r="K480" s="54"/>
      <c r="P480" s="22">
        <f t="shared" si="139"/>
        <v>0</v>
      </c>
      <c r="Q480" s="22" t="str">
        <f t="shared" si="141"/>
        <v>00</v>
      </c>
      <c r="R480" s="22">
        <f t="shared" si="140"/>
        <v>0</v>
      </c>
      <c r="S480" s="22" t="str">
        <f t="shared" si="142"/>
        <v>00</v>
      </c>
      <c r="T480" s="22">
        <f t="shared" si="145"/>
        <v>1900</v>
      </c>
      <c r="U480" s="22">
        <f t="shared" si="145"/>
        <v>1900</v>
      </c>
      <c r="W480" s="22" t="str">
        <f t="shared" si="143"/>
        <v>190000</v>
      </c>
      <c r="X480" s="22" t="str">
        <f t="shared" si="144"/>
        <v>190000</v>
      </c>
    </row>
    <row r="481" spans="2:24">
      <c r="B481" s="22"/>
      <c r="C481" s="22"/>
      <c r="D481" s="77"/>
      <c r="E481" s="54"/>
      <c r="F481" s="77"/>
      <c r="G481" s="77"/>
      <c r="H481" s="78"/>
      <c r="I481" s="54"/>
      <c r="J481" s="39"/>
      <c r="K481" s="54"/>
      <c r="P481" s="22">
        <f t="shared" si="139"/>
        <v>0</v>
      </c>
      <c r="Q481" s="22" t="str">
        <f t="shared" si="141"/>
        <v>00</v>
      </c>
      <c r="R481" s="22">
        <f t="shared" si="140"/>
        <v>0</v>
      </c>
      <c r="S481" s="22" t="str">
        <f t="shared" si="142"/>
        <v>00</v>
      </c>
      <c r="T481" s="22">
        <f t="shared" si="145"/>
        <v>1900</v>
      </c>
      <c r="U481" s="22">
        <f t="shared" si="145"/>
        <v>1900</v>
      </c>
      <c r="W481" s="22" t="str">
        <f t="shared" si="143"/>
        <v>190000</v>
      </c>
      <c r="X481" s="22" t="str">
        <f t="shared" si="144"/>
        <v>190000</v>
      </c>
    </row>
    <row r="482" spans="2:24">
      <c r="B482" s="22"/>
      <c r="C482" s="22"/>
      <c r="D482" s="77"/>
      <c r="E482" s="54"/>
      <c r="F482" s="77"/>
      <c r="G482" s="77"/>
      <c r="H482" s="78"/>
      <c r="I482" s="54"/>
      <c r="J482" s="39"/>
      <c r="K482" s="54"/>
      <c r="P482" s="22">
        <f t="shared" si="139"/>
        <v>0</v>
      </c>
      <c r="Q482" s="22" t="str">
        <f t="shared" si="141"/>
        <v>00</v>
      </c>
      <c r="R482" s="22">
        <f t="shared" si="140"/>
        <v>0</v>
      </c>
      <c r="S482" s="22" t="str">
        <f t="shared" si="142"/>
        <v>00</v>
      </c>
      <c r="T482" s="22">
        <f t="shared" si="145"/>
        <v>1900</v>
      </c>
      <c r="U482" s="22">
        <f t="shared" si="145"/>
        <v>1900</v>
      </c>
      <c r="W482" s="22" t="str">
        <f t="shared" si="143"/>
        <v>190000</v>
      </c>
      <c r="X482" s="22" t="str">
        <f t="shared" si="144"/>
        <v>190000</v>
      </c>
    </row>
    <row r="483" spans="2:24">
      <c r="B483" s="22"/>
      <c r="C483" s="22"/>
      <c r="D483" s="77"/>
      <c r="E483" s="54"/>
      <c r="F483" s="77"/>
      <c r="G483" s="77"/>
      <c r="H483" s="78"/>
      <c r="I483" s="54"/>
      <c r="J483" s="39"/>
      <c r="K483" s="54"/>
      <c r="P483" s="22">
        <f t="shared" si="139"/>
        <v>0</v>
      </c>
      <c r="Q483" s="22" t="str">
        <f t="shared" si="141"/>
        <v>00</v>
      </c>
      <c r="R483" s="22">
        <f t="shared" si="140"/>
        <v>0</v>
      </c>
      <c r="S483" s="22" t="str">
        <f t="shared" si="142"/>
        <v>00</v>
      </c>
      <c r="T483" s="22">
        <f t="shared" si="145"/>
        <v>1900</v>
      </c>
      <c r="U483" s="22">
        <f t="shared" si="145"/>
        <v>1900</v>
      </c>
      <c r="W483" s="22" t="str">
        <f t="shared" si="143"/>
        <v>190000</v>
      </c>
      <c r="X483" s="22" t="str">
        <f t="shared" si="144"/>
        <v>190000</v>
      </c>
    </row>
    <row r="484" spans="2:24">
      <c r="B484" s="22"/>
      <c r="C484" s="22"/>
      <c r="D484" s="77"/>
      <c r="E484" s="54"/>
      <c r="F484" s="77"/>
      <c r="G484" s="77"/>
      <c r="H484" s="78"/>
      <c r="I484" s="54"/>
      <c r="J484" s="39"/>
      <c r="K484" s="54"/>
      <c r="P484" s="22">
        <f t="shared" si="139"/>
        <v>0</v>
      </c>
      <c r="Q484" s="22" t="str">
        <f t="shared" si="141"/>
        <v>00</v>
      </c>
      <c r="R484" s="22">
        <f t="shared" si="140"/>
        <v>0</v>
      </c>
      <c r="S484" s="22" t="str">
        <f t="shared" si="142"/>
        <v>00</v>
      </c>
      <c r="T484" s="22">
        <f t="shared" si="145"/>
        <v>1900</v>
      </c>
      <c r="U484" s="22">
        <f t="shared" si="145"/>
        <v>1900</v>
      </c>
      <c r="W484" s="22" t="str">
        <f t="shared" si="143"/>
        <v>190000</v>
      </c>
      <c r="X484" s="22" t="str">
        <f t="shared" si="144"/>
        <v>190000</v>
      </c>
    </row>
    <row r="485" spans="2:24">
      <c r="B485" s="22"/>
      <c r="C485" s="22"/>
      <c r="D485" s="77"/>
      <c r="E485" s="54"/>
      <c r="F485" s="77"/>
      <c r="G485" s="77"/>
      <c r="H485" s="78"/>
      <c r="I485" s="54"/>
      <c r="J485" s="39"/>
      <c r="K485" s="54"/>
      <c r="P485" s="22">
        <f t="shared" si="139"/>
        <v>0</v>
      </c>
      <c r="Q485" s="22" t="str">
        <f t="shared" si="141"/>
        <v>00</v>
      </c>
      <c r="R485" s="22">
        <f t="shared" si="140"/>
        <v>0</v>
      </c>
      <c r="S485" s="22" t="str">
        <f t="shared" si="142"/>
        <v>00</v>
      </c>
      <c r="T485" s="22">
        <f t="shared" si="145"/>
        <v>1900</v>
      </c>
      <c r="U485" s="22">
        <f t="shared" si="145"/>
        <v>1900</v>
      </c>
      <c r="W485" s="22" t="str">
        <f t="shared" si="143"/>
        <v>190000</v>
      </c>
      <c r="X485" s="22" t="str">
        <f t="shared" si="144"/>
        <v>190000</v>
      </c>
    </row>
    <row r="486" spans="2:24">
      <c r="B486" s="22"/>
      <c r="C486" s="22"/>
      <c r="D486" s="77"/>
      <c r="E486" s="54"/>
      <c r="F486" s="77"/>
      <c r="G486" s="77"/>
      <c r="H486" s="78"/>
      <c r="I486" s="54"/>
      <c r="J486" s="39"/>
      <c r="K486" s="54"/>
      <c r="P486" s="22">
        <f t="shared" si="139"/>
        <v>0</v>
      </c>
      <c r="Q486" s="22" t="str">
        <f t="shared" si="141"/>
        <v>00</v>
      </c>
      <c r="R486" s="22">
        <f t="shared" si="140"/>
        <v>0</v>
      </c>
      <c r="S486" s="22" t="str">
        <f t="shared" si="142"/>
        <v>00</v>
      </c>
      <c r="T486" s="22">
        <f t="shared" si="145"/>
        <v>1900</v>
      </c>
      <c r="U486" s="22">
        <f t="shared" si="145"/>
        <v>1900</v>
      </c>
      <c r="W486" s="22" t="str">
        <f t="shared" si="143"/>
        <v>190000</v>
      </c>
      <c r="X486" s="22" t="str">
        <f t="shared" si="144"/>
        <v>190000</v>
      </c>
    </row>
    <row r="487" spans="2:24">
      <c r="B487" s="22"/>
      <c r="C487" s="22"/>
      <c r="D487" s="77"/>
      <c r="E487" s="54"/>
      <c r="F487" s="77"/>
      <c r="G487" s="77"/>
      <c r="H487" s="78"/>
      <c r="I487" s="54"/>
      <c r="J487" s="39"/>
      <c r="K487" s="54"/>
      <c r="P487" s="22">
        <f t="shared" si="139"/>
        <v>0</v>
      </c>
      <c r="Q487" s="22" t="str">
        <f t="shared" si="141"/>
        <v>00</v>
      </c>
      <c r="R487" s="22">
        <f t="shared" si="140"/>
        <v>0</v>
      </c>
      <c r="S487" s="22" t="str">
        <f t="shared" si="142"/>
        <v>00</v>
      </c>
      <c r="T487" s="22">
        <f t="shared" si="145"/>
        <v>1900</v>
      </c>
      <c r="U487" s="22">
        <f t="shared" si="145"/>
        <v>1900</v>
      </c>
      <c r="W487" s="22" t="str">
        <f t="shared" si="143"/>
        <v>190000</v>
      </c>
      <c r="X487" s="22" t="str">
        <f t="shared" si="144"/>
        <v>190000</v>
      </c>
    </row>
    <row r="488" spans="2:24">
      <c r="B488" s="22"/>
      <c r="C488" s="22"/>
      <c r="D488" s="77"/>
      <c r="E488" s="54"/>
      <c r="F488" s="77"/>
      <c r="G488" s="77"/>
      <c r="H488" s="78"/>
      <c r="I488" s="54"/>
      <c r="J488" s="39"/>
      <c r="K488" s="54"/>
      <c r="P488" s="22">
        <f t="shared" si="139"/>
        <v>0</v>
      </c>
      <c r="Q488" s="22" t="str">
        <f t="shared" si="141"/>
        <v>00</v>
      </c>
      <c r="R488" s="22">
        <f t="shared" si="140"/>
        <v>0</v>
      </c>
      <c r="S488" s="22" t="str">
        <f t="shared" si="142"/>
        <v>00</v>
      </c>
      <c r="T488" s="22">
        <f t="shared" si="145"/>
        <v>1900</v>
      </c>
      <c r="U488" s="22">
        <f t="shared" si="145"/>
        <v>1900</v>
      </c>
      <c r="W488" s="22" t="str">
        <f t="shared" si="143"/>
        <v>190000</v>
      </c>
      <c r="X488" s="22" t="str">
        <f t="shared" si="144"/>
        <v>190000</v>
      </c>
    </row>
    <row r="489" spans="2:24">
      <c r="B489" s="22"/>
      <c r="C489" s="22"/>
      <c r="D489" s="77"/>
      <c r="E489" s="54"/>
      <c r="F489" s="77"/>
      <c r="G489" s="77"/>
      <c r="H489" s="78"/>
      <c r="I489" s="54"/>
      <c r="J489" s="39"/>
      <c r="K489" s="54"/>
      <c r="P489" s="22">
        <f t="shared" si="139"/>
        <v>0</v>
      </c>
      <c r="Q489" s="22" t="str">
        <f t="shared" si="141"/>
        <v>00</v>
      </c>
      <c r="R489" s="22">
        <f t="shared" si="140"/>
        <v>0</v>
      </c>
      <c r="S489" s="22" t="str">
        <f t="shared" si="142"/>
        <v>00</v>
      </c>
      <c r="T489" s="22">
        <f t="shared" si="145"/>
        <v>1900</v>
      </c>
      <c r="U489" s="22">
        <f t="shared" si="145"/>
        <v>1900</v>
      </c>
      <c r="W489" s="22" t="str">
        <f t="shared" si="143"/>
        <v>190000</v>
      </c>
      <c r="X489" s="22" t="str">
        <f t="shared" si="144"/>
        <v>190000</v>
      </c>
    </row>
    <row r="490" spans="2:24">
      <c r="B490" s="22"/>
      <c r="C490" s="22"/>
      <c r="D490" s="77"/>
      <c r="E490" s="54"/>
      <c r="F490" s="77"/>
      <c r="G490" s="77"/>
      <c r="H490" s="78"/>
      <c r="I490" s="54"/>
      <c r="J490" s="39"/>
      <c r="K490" s="54"/>
      <c r="P490" s="22">
        <f t="shared" si="139"/>
        <v>0</v>
      </c>
      <c r="Q490" s="22" t="str">
        <f t="shared" si="141"/>
        <v>00</v>
      </c>
      <c r="R490" s="22">
        <f t="shared" si="140"/>
        <v>0</v>
      </c>
      <c r="S490" s="22" t="str">
        <f t="shared" si="142"/>
        <v>00</v>
      </c>
      <c r="T490" s="22">
        <f t="shared" si="145"/>
        <v>1900</v>
      </c>
      <c r="U490" s="22">
        <f t="shared" si="145"/>
        <v>1900</v>
      </c>
      <c r="W490" s="22" t="str">
        <f t="shared" si="143"/>
        <v>190000</v>
      </c>
      <c r="X490" s="22" t="str">
        <f t="shared" si="144"/>
        <v>190000</v>
      </c>
    </row>
    <row r="491" spans="2:24">
      <c r="B491" s="22"/>
      <c r="C491" s="22"/>
      <c r="D491" s="77"/>
      <c r="E491" s="54"/>
      <c r="F491" s="77"/>
      <c r="G491" s="77"/>
      <c r="H491" s="78"/>
      <c r="I491" s="54"/>
      <c r="J491" s="39"/>
      <c r="K491" s="54"/>
      <c r="P491" s="22">
        <f t="shared" si="139"/>
        <v>0</v>
      </c>
      <c r="Q491" s="22" t="str">
        <f t="shared" si="141"/>
        <v>00</v>
      </c>
      <c r="R491" s="22">
        <f t="shared" si="140"/>
        <v>0</v>
      </c>
      <c r="S491" s="22" t="str">
        <f t="shared" si="142"/>
        <v>00</v>
      </c>
      <c r="T491" s="22">
        <f t="shared" si="145"/>
        <v>1900</v>
      </c>
      <c r="U491" s="22">
        <f t="shared" si="145"/>
        <v>1900</v>
      </c>
      <c r="W491" s="22" t="str">
        <f t="shared" si="143"/>
        <v>190000</v>
      </c>
      <c r="X491" s="22" t="str">
        <f t="shared" si="144"/>
        <v>190000</v>
      </c>
    </row>
    <row r="492" spans="2:24">
      <c r="B492" s="22"/>
      <c r="C492" s="22"/>
      <c r="D492" s="77"/>
      <c r="E492" s="54"/>
      <c r="F492" s="77"/>
      <c r="G492" s="77"/>
      <c r="H492" s="78"/>
      <c r="I492" s="54"/>
      <c r="J492" s="39"/>
      <c r="K492" s="54"/>
      <c r="P492" s="22">
        <f t="shared" si="139"/>
        <v>0</v>
      </c>
      <c r="Q492" s="22" t="str">
        <f t="shared" si="141"/>
        <v>00</v>
      </c>
      <c r="R492" s="22">
        <f t="shared" si="140"/>
        <v>0</v>
      </c>
      <c r="S492" s="22" t="str">
        <f t="shared" si="142"/>
        <v>00</v>
      </c>
      <c r="T492" s="22">
        <f t="shared" si="145"/>
        <v>1900</v>
      </c>
      <c r="U492" s="22">
        <f t="shared" si="145"/>
        <v>1900</v>
      </c>
      <c r="W492" s="22" t="str">
        <f t="shared" si="143"/>
        <v>190000</v>
      </c>
      <c r="X492" s="22" t="str">
        <f t="shared" si="144"/>
        <v>190000</v>
      </c>
    </row>
    <row r="493" spans="2:24">
      <c r="B493" s="22"/>
      <c r="C493" s="22"/>
      <c r="D493" s="77"/>
      <c r="E493" s="54"/>
      <c r="F493" s="77"/>
      <c r="G493" s="77"/>
      <c r="H493" s="78"/>
      <c r="I493" s="54"/>
      <c r="J493" s="39"/>
      <c r="K493" s="54"/>
      <c r="P493" s="22">
        <f t="shared" si="139"/>
        <v>0</v>
      </c>
      <c r="Q493" s="22" t="str">
        <f t="shared" si="141"/>
        <v>00</v>
      </c>
      <c r="R493" s="22">
        <f t="shared" si="140"/>
        <v>0</v>
      </c>
      <c r="S493" s="22" t="str">
        <f t="shared" si="142"/>
        <v>00</v>
      </c>
      <c r="T493" s="22">
        <f t="shared" si="145"/>
        <v>1900</v>
      </c>
      <c r="U493" s="22">
        <f t="shared" si="145"/>
        <v>1900</v>
      </c>
      <c r="W493" s="22" t="str">
        <f t="shared" si="143"/>
        <v>190000</v>
      </c>
      <c r="X493" s="22" t="str">
        <f t="shared" si="144"/>
        <v>190000</v>
      </c>
    </row>
    <row r="494" spans="2:24">
      <c r="B494" s="22"/>
      <c r="C494" s="22"/>
      <c r="D494" s="77"/>
      <c r="E494" s="54"/>
      <c r="F494" s="77"/>
      <c r="G494" s="77"/>
      <c r="H494" s="78"/>
      <c r="I494" s="54"/>
      <c r="J494" s="39"/>
      <c r="K494" s="54"/>
      <c r="P494" s="22">
        <f t="shared" si="139"/>
        <v>0</v>
      </c>
      <c r="Q494" s="22" t="str">
        <f t="shared" si="141"/>
        <v>00</v>
      </c>
      <c r="R494" s="22">
        <f t="shared" si="140"/>
        <v>0</v>
      </c>
      <c r="S494" s="22" t="str">
        <f t="shared" si="142"/>
        <v>00</v>
      </c>
      <c r="T494" s="22">
        <f t="shared" si="145"/>
        <v>1900</v>
      </c>
      <c r="U494" s="22">
        <f t="shared" si="145"/>
        <v>1900</v>
      </c>
      <c r="W494" s="22" t="str">
        <f t="shared" si="143"/>
        <v>190000</v>
      </c>
      <c r="X494" s="22" t="str">
        <f t="shared" si="144"/>
        <v>190000</v>
      </c>
    </row>
    <row r="495" spans="2:24">
      <c r="B495" s="22"/>
      <c r="C495" s="22"/>
      <c r="D495" s="77"/>
      <c r="E495" s="54"/>
      <c r="F495" s="77"/>
      <c r="G495" s="77"/>
      <c r="H495" s="78"/>
      <c r="I495" s="54"/>
      <c r="J495" s="39"/>
      <c r="K495" s="54"/>
      <c r="P495" s="22">
        <f t="shared" si="139"/>
        <v>0</v>
      </c>
      <c r="Q495" s="22" t="str">
        <f t="shared" si="141"/>
        <v>00</v>
      </c>
      <c r="R495" s="22">
        <f t="shared" si="140"/>
        <v>0</v>
      </c>
      <c r="S495" s="22" t="str">
        <f t="shared" si="142"/>
        <v>00</v>
      </c>
      <c r="T495" s="22">
        <f t="shared" si="145"/>
        <v>1900</v>
      </c>
      <c r="U495" s="22">
        <f t="shared" si="145"/>
        <v>1900</v>
      </c>
      <c r="W495" s="22" t="str">
        <f t="shared" si="143"/>
        <v>190000</v>
      </c>
      <c r="X495" s="22" t="str">
        <f t="shared" si="144"/>
        <v>190000</v>
      </c>
    </row>
    <row r="496" spans="2:24">
      <c r="B496" s="22"/>
      <c r="C496" s="22"/>
      <c r="D496" s="77"/>
      <c r="E496" s="54"/>
      <c r="F496" s="77"/>
      <c r="G496" s="77"/>
      <c r="H496" s="78"/>
      <c r="I496" s="54"/>
      <c r="J496" s="39"/>
      <c r="K496" s="54"/>
      <c r="P496" s="22">
        <f t="shared" si="139"/>
        <v>0</v>
      </c>
      <c r="Q496" s="22" t="str">
        <f t="shared" si="141"/>
        <v>00</v>
      </c>
      <c r="R496" s="22">
        <f t="shared" si="140"/>
        <v>0</v>
      </c>
      <c r="S496" s="22" t="str">
        <f t="shared" si="142"/>
        <v>00</v>
      </c>
      <c r="T496" s="22">
        <f t="shared" si="145"/>
        <v>1900</v>
      </c>
      <c r="U496" s="22">
        <f t="shared" si="145"/>
        <v>1900</v>
      </c>
      <c r="W496" s="22" t="str">
        <f t="shared" si="143"/>
        <v>190000</v>
      </c>
      <c r="X496" s="22" t="str">
        <f t="shared" si="144"/>
        <v>190000</v>
      </c>
    </row>
    <row r="497" spans="2:24">
      <c r="B497" s="22"/>
      <c r="C497" s="22"/>
      <c r="D497" s="77"/>
      <c r="E497" s="54"/>
      <c r="F497" s="77"/>
      <c r="G497" s="77"/>
      <c r="H497" s="78"/>
      <c r="I497" s="54"/>
      <c r="J497" s="39"/>
      <c r="K497" s="54"/>
      <c r="P497" s="22">
        <f t="shared" si="139"/>
        <v>0</v>
      </c>
      <c r="Q497" s="22" t="str">
        <f t="shared" si="141"/>
        <v>00</v>
      </c>
      <c r="R497" s="22">
        <f t="shared" si="140"/>
        <v>0</v>
      </c>
      <c r="S497" s="22" t="str">
        <f t="shared" si="142"/>
        <v>00</v>
      </c>
      <c r="T497" s="22">
        <f t="shared" si="145"/>
        <v>1900</v>
      </c>
      <c r="U497" s="22">
        <f t="shared" si="145"/>
        <v>1900</v>
      </c>
      <c r="W497" s="22" t="str">
        <f t="shared" si="143"/>
        <v>190000</v>
      </c>
      <c r="X497" s="22" t="str">
        <f t="shared" si="144"/>
        <v>190000</v>
      </c>
    </row>
    <row r="498" spans="2:24">
      <c r="B498" s="22"/>
      <c r="C498" s="22"/>
      <c r="D498" s="77"/>
      <c r="E498" s="54"/>
      <c r="F498" s="77"/>
      <c r="G498" s="77"/>
      <c r="H498" s="78"/>
      <c r="I498" s="54"/>
      <c r="J498" s="39"/>
      <c r="K498" s="54"/>
      <c r="P498" s="22">
        <f t="shared" si="139"/>
        <v>0</v>
      </c>
      <c r="Q498" s="22" t="str">
        <f t="shared" si="141"/>
        <v>00</v>
      </c>
      <c r="R498" s="22">
        <f t="shared" si="140"/>
        <v>0</v>
      </c>
      <c r="S498" s="22" t="str">
        <f t="shared" si="142"/>
        <v>00</v>
      </c>
      <c r="T498" s="22">
        <f t="shared" si="145"/>
        <v>1900</v>
      </c>
      <c r="U498" s="22">
        <f t="shared" si="145"/>
        <v>1900</v>
      </c>
      <c r="W498" s="22" t="str">
        <f t="shared" si="143"/>
        <v>190000</v>
      </c>
      <c r="X498" s="22" t="str">
        <f t="shared" si="144"/>
        <v>190000</v>
      </c>
    </row>
    <row r="499" spans="2:24">
      <c r="B499" s="22"/>
      <c r="C499" s="22"/>
      <c r="D499" s="77"/>
      <c r="E499" s="54"/>
      <c r="F499" s="77"/>
      <c r="G499" s="77"/>
      <c r="H499" s="78"/>
      <c r="I499" s="54"/>
      <c r="J499" s="39"/>
      <c r="K499" s="54"/>
      <c r="P499" s="22">
        <f t="shared" si="139"/>
        <v>0</v>
      </c>
      <c r="Q499" s="22" t="str">
        <f t="shared" si="141"/>
        <v>00</v>
      </c>
      <c r="R499" s="22">
        <f t="shared" si="140"/>
        <v>0</v>
      </c>
      <c r="S499" s="22" t="str">
        <f t="shared" si="142"/>
        <v>00</v>
      </c>
      <c r="T499" s="22">
        <f t="shared" si="145"/>
        <v>1900</v>
      </c>
      <c r="U499" s="22">
        <f t="shared" si="145"/>
        <v>1900</v>
      </c>
      <c r="W499" s="22" t="str">
        <f t="shared" si="143"/>
        <v>190000</v>
      </c>
      <c r="X499" s="22" t="str">
        <f t="shared" si="144"/>
        <v>190000</v>
      </c>
    </row>
    <row r="500" spans="2:24">
      <c r="B500" s="22"/>
      <c r="C500" s="22"/>
      <c r="D500" s="77"/>
      <c r="E500" s="54"/>
      <c r="F500" s="77"/>
      <c r="G500" s="77"/>
      <c r="H500" s="78"/>
      <c r="I500" s="54"/>
      <c r="J500" s="39"/>
      <c r="K500" s="54"/>
      <c r="P500" s="22">
        <f t="shared" si="139"/>
        <v>0</v>
      </c>
      <c r="Q500" s="22" t="str">
        <f t="shared" si="141"/>
        <v>00</v>
      </c>
      <c r="R500" s="22">
        <f t="shared" si="140"/>
        <v>0</v>
      </c>
      <c r="S500" s="22" t="str">
        <f t="shared" si="142"/>
        <v>00</v>
      </c>
      <c r="T500" s="22">
        <f t="shared" si="145"/>
        <v>1900</v>
      </c>
      <c r="U500" s="22">
        <f t="shared" si="145"/>
        <v>1900</v>
      </c>
      <c r="W500" s="22" t="str">
        <f t="shared" si="143"/>
        <v>190000</v>
      </c>
      <c r="X500" s="22" t="str">
        <f t="shared" si="144"/>
        <v>190000</v>
      </c>
    </row>
    <row r="501" spans="2:24">
      <c r="B501" s="22"/>
      <c r="C501" s="22"/>
      <c r="D501" s="77"/>
      <c r="E501" s="54"/>
      <c r="F501" s="77"/>
      <c r="G501" s="77"/>
      <c r="H501" s="78"/>
      <c r="I501" s="54"/>
      <c r="J501" s="39"/>
      <c r="K501" s="54"/>
      <c r="P501" s="22">
        <f t="shared" si="139"/>
        <v>0</v>
      </c>
      <c r="Q501" s="22" t="str">
        <f t="shared" si="141"/>
        <v>00</v>
      </c>
      <c r="R501" s="22">
        <f t="shared" si="140"/>
        <v>0</v>
      </c>
      <c r="S501" s="22" t="str">
        <f t="shared" si="142"/>
        <v>00</v>
      </c>
      <c r="T501" s="22">
        <f t="shared" si="145"/>
        <v>1900</v>
      </c>
      <c r="U501" s="22">
        <f t="shared" si="145"/>
        <v>1900</v>
      </c>
      <c r="W501" s="22" t="str">
        <f t="shared" si="143"/>
        <v>190000</v>
      </c>
      <c r="X501" s="22" t="str">
        <f t="shared" si="144"/>
        <v>190000</v>
      </c>
    </row>
    <row r="502" spans="2:24">
      <c r="B502" s="22"/>
      <c r="C502" s="22"/>
      <c r="D502" s="77"/>
      <c r="E502" s="54"/>
      <c r="F502" s="77"/>
      <c r="G502" s="77"/>
      <c r="H502" s="78"/>
      <c r="I502" s="54"/>
      <c r="J502" s="39"/>
      <c r="K502" s="54"/>
      <c r="P502" s="22">
        <f t="shared" si="139"/>
        <v>0</v>
      </c>
      <c r="Q502" s="22" t="str">
        <f t="shared" si="141"/>
        <v>00</v>
      </c>
      <c r="R502" s="22">
        <f t="shared" si="140"/>
        <v>0</v>
      </c>
      <c r="S502" s="22" t="str">
        <f t="shared" si="142"/>
        <v>00</v>
      </c>
      <c r="T502" s="22">
        <f t="shared" si="145"/>
        <v>1900</v>
      </c>
      <c r="U502" s="22">
        <f t="shared" si="145"/>
        <v>1900</v>
      </c>
      <c r="W502" s="22" t="str">
        <f t="shared" si="143"/>
        <v>190000</v>
      </c>
      <c r="X502" s="22" t="str">
        <f t="shared" si="144"/>
        <v>190000</v>
      </c>
    </row>
    <row r="503" spans="2:24">
      <c r="B503" s="22"/>
      <c r="C503" s="22"/>
      <c r="D503" s="77"/>
      <c r="E503" s="54"/>
      <c r="F503" s="77"/>
      <c r="G503" s="77"/>
      <c r="H503" s="78"/>
      <c r="I503" s="54"/>
      <c r="J503" s="39"/>
      <c r="K503" s="54"/>
      <c r="P503" s="22">
        <f t="shared" si="139"/>
        <v>0</v>
      </c>
      <c r="Q503" s="22" t="str">
        <f t="shared" si="141"/>
        <v>00</v>
      </c>
      <c r="R503" s="22">
        <f t="shared" si="140"/>
        <v>0</v>
      </c>
      <c r="S503" s="22" t="str">
        <f t="shared" si="142"/>
        <v>00</v>
      </c>
      <c r="T503" s="22">
        <f t="shared" si="145"/>
        <v>1900</v>
      </c>
      <c r="U503" s="22">
        <f t="shared" si="145"/>
        <v>1900</v>
      </c>
      <c r="W503" s="22" t="str">
        <f t="shared" si="143"/>
        <v>190000</v>
      </c>
      <c r="X503" s="22" t="str">
        <f t="shared" si="144"/>
        <v>190000</v>
      </c>
    </row>
    <row r="504" spans="2:24">
      <c r="B504" s="22"/>
      <c r="C504" s="22"/>
      <c r="D504" s="77"/>
      <c r="E504" s="54"/>
      <c r="F504" s="77"/>
      <c r="G504" s="77"/>
      <c r="H504" s="78"/>
      <c r="I504" s="54"/>
      <c r="J504" s="39"/>
      <c r="K504" s="54"/>
      <c r="P504" s="22">
        <f t="shared" si="139"/>
        <v>0</v>
      </c>
      <c r="Q504" s="22" t="str">
        <f t="shared" si="141"/>
        <v>00</v>
      </c>
      <c r="R504" s="22">
        <f t="shared" si="140"/>
        <v>0</v>
      </c>
      <c r="S504" s="22" t="str">
        <f t="shared" si="142"/>
        <v>00</v>
      </c>
      <c r="T504" s="22">
        <f t="shared" si="145"/>
        <v>1900</v>
      </c>
      <c r="U504" s="22">
        <f t="shared" si="145"/>
        <v>1900</v>
      </c>
      <c r="W504" s="22" t="str">
        <f t="shared" si="143"/>
        <v>190000</v>
      </c>
      <c r="X504" s="22" t="str">
        <f t="shared" si="144"/>
        <v>190000</v>
      </c>
    </row>
    <row r="505" spans="2:24">
      <c r="B505" s="22"/>
      <c r="C505" s="22"/>
      <c r="D505" s="77"/>
      <c r="E505" s="54"/>
      <c r="F505" s="77"/>
      <c r="G505" s="77"/>
      <c r="H505" s="78"/>
      <c r="I505" s="54"/>
      <c r="J505" s="39"/>
      <c r="K505" s="54"/>
      <c r="P505" s="22">
        <f t="shared" si="139"/>
        <v>0</v>
      </c>
      <c r="Q505" s="22" t="str">
        <f t="shared" si="141"/>
        <v>00</v>
      </c>
      <c r="R505" s="22">
        <f t="shared" si="140"/>
        <v>0</v>
      </c>
      <c r="S505" s="22" t="str">
        <f t="shared" si="142"/>
        <v>00</v>
      </c>
      <c r="T505" s="22">
        <f t="shared" si="145"/>
        <v>1900</v>
      </c>
      <c r="U505" s="22">
        <f t="shared" si="145"/>
        <v>1900</v>
      </c>
      <c r="W505" s="22" t="str">
        <f t="shared" si="143"/>
        <v>190000</v>
      </c>
      <c r="X505" s="22" t="str">
        <f t="shared" si="144"/>
        <v>190000</v>
      </c>
    </row>
    <row r="506" spans="2:24">
      <c r="B506" s="22"/>
      <c r="C506" s="22"/>
      <c r="D506" s="77"/>
      <c r="E506" s="54"/>
      <c r="F506" s="77"/>
      <c r="G506" s="77"/>
      <c r="H506" s="78"/>
      <c r="I506" s="54"/>
      <c r="J506" s="39"/>
      <c r="K506" s="54"/>
      <c r="P506" s="22">
        <f t="shared" si="139"/>
        <v>0</v>
      </c>
      <c r="Q506" s="22" t="str">
        <f t="shared" si="141"/>
        <v>00</v>
      </c>
      <c r="R506" s="22">
        <f t="shared" si="140"/>
        <v>0</v>
      </c>
      <c r="S506" s="22" t="str">
        <f t="shared" si="142"/>
        <v>00</v>
      </c>
      <c r="T506" s="22">
        <f t="shared" si="145"/>
        <v>1900</v>
      </c>
      <c r="U506" s="22">
        <f t="shared" si="145"/>
        <v>1900</v>
      </c>
      <c r="W506" s="22" t="str">
        <f t="shared" si="143"/>
        <v>190000</v>
      </c>
      <c r="X506" s="22" t="str">
        <f t="shared" si="144"/>
        <v>190000</v>
      </c>
    </row>
    <row r="507" spans="2:24">
      <c r="B507" s="22"/>
      <c r="C507" s="22"/>
      <c r="D507" s="77"/>
      <c r="E507" s="54"/>
      <c r="F507" s="77"/>
      <c r="G507" s="77"/>
      <c r="H507" s="78"/>
      <c r="I507" s="54"/>
      <c r="J507" s="39"/>
      <c r="K507" s="54"/>
      <c r="P507" s="22">
        <f t="shared" si="139"/>
        <v>0</v>
      </c>
      <c r="Q507" s="22" t="str">
        <f t="shared" si="141"/>
        <v>00</v>
      </c>
      <c r="R507" s="22">
        <f t="shared" si="140"/>
        <v>0</v>
      </c>
      <c r="S507" s="22" t="str">
        <f t="shared" si="142"/>
        <v>00</v>
      </c>
      <c r="T507" s="22">
        <f t="shared" si="145"/>
        <v>1900</v>
      </c>
      <c r="U507" s="22">
        <f t="shared" si="145"/>
        <v>1900</v>
      </c>
      <c r="W507" s="22" t="str">
        <f t="shared" si="143"/>
        <v>190000</v>
      </c>
      <c r="X507" s="22" t="str">
        <f t="shared" si="144"/>
        <v>190000</v>
      </c>
    </row>
    <row r="508" spans="2:24">
      <c r="B508" s="22"/>
      <c r="C508" s="22"/>
      <c r="D508" s="77"/>
      <c r="E508" s="54"/>
      <c r="F508" s="77"/>
      <c r="G508" s="77"/>
      <c r="H508" s="78"/>
      <c r="I508" s="54"/>
      <c r="J508" s="39"/>
      <c r="K508" s="54"/>
      <c r="P508" s="22">
        <f t="shared" si="139"/>
        <v>0</v>
      </c>
      <c r="Q508" s="22" t="str">
        <f t="shared" si="141"/>
        <v>00</v>
      </c>
      <c r="R508" s="22">
        <f t="shared" si="140"/>
        <v>0</v>
      </c>
      <c r="S508" s="22" t="str">
        <f t="shared" si="142"/>
        <v>00</v>
      </c>
      <c r="T508" s="22">
        <f t="shared" si="145"/>
        <v>1900</v>
      </c>
      <c r="U508" s="22">
        <f t="shared" si="145"/>
        <v>1900</v>
      </c>
      <c r="W508" s="22" t="str">
        <f t="shared" si="143"/>
        <v>190000</v>
      </c>
      <c r="X508" s="22" t="str">
        <f t="shared" si="144"/>
        <v>190000</v>
      </c>
    </row>
    <row r="509" spans="2:24">
      <c r="B509" s="22"/>
      <c r="C509" s="22"/>
      <c r="D509" s="77"/>
      <c r="E509" s="54"/>
      <c r="F509" s="77"/>
      <c r="G509" s="77"/>
      <c r="H509" s="78"/>
      <c r="I509" s="54"/>
      <c r="J509" s="39"/>
      <c r="K509" s="54"/>
      <c r="P509" s="22">
        <f t="shared" si="139"/>
        <v>0</v>
      </c>
      <c r="Q509" s="22" t="str">
        <f t="shared" si="141"/>
        <v>00</v>
      </c>
      <c r="R509" s="22">
        <f t="shared" si="140"/>
        <v>0</v>
      </c>
      <c r="S509" s="22" t="str">
        <f t="shared" si="142"/>
        <v>00</v>
      </c>
      <c r="T509" s="22">
        <f t="shared" si="145"/>
        <v>1900</v>
      </c>
      <c r="U509" s="22">
        <f t="shared" si="145"/>
        <v>1900</v>
      </c>
      <c r="W509" s="22" t="str">
        <f t="shared" si="143"/>
        <v>190000</v>
      </c>
      <c r="X509" s="22" t="str">
        <f t="shared" si="144"/>
        <v>190000</v>
      </c>
    </row>
    <row r="510" spans="2:24">
      <c r="B510" s="22"/>
      <c r="C510" s="22"/>
      <c r="D510" s="77"/>
      <c r="E510" s="54"/>
      <c r="F510" s="77"/>
      <c r="G510" s="77"/>
      <c r="H510" s="78"/>
      <c r="I510" s="54"/>
      <c r="J510" s="39"/>
      <c r="K510" s="54"/>
      <c r="P510" s="22">
        <f t="shared" si="139"/>
        <v>0</v>
      </c>
      <c r="Q510" s="22" t="str">
        <f t="shared" si="141"/>
        <v>00</v>
      </c>
      <c r="R510" s="22">
        <f t="shared" si="140"/>
        <v>0</v>
      </c>
      <c r="S510" s="22" t="str">
        <f t="shared" si="142"/>
        <v>00</v>
      </c>
      <c r="T510" s="22">
        <f t="shared" si="145"/>
        <v>1900</v>
      </c>
      <c r="U510" s="22">
        <f t="shared" si="145"/>
        <v>1900</v>
      </c>
      <c r="W510" s="22" t="str">
        <f t="shared" si="143"/>
        <v>190000</v>
      </c>
      <c r="X510" s="22" t="str">
        <f t="shared" si="144"/>
        <v>190000</v>
      </c>
    </row>
    <row r="511" spans="2:24">
      <c r="B511" s="22"/>
      <c r="C511" s="22"/>
      <c r="D511" s="77"/>
      <c r="E511" s="54"/>
      <c r="F511" s="77"/>
      <c r="G511" s="77"/>
      <c r="H511" s="78"/>
      <c r="I511" s="54"/>
      <c r="J511" s="39"/>
      <c r="K511" s="54"/>
      <c r="P511" s="22">
        <f t="shared" si="139"/>
        <v>0</v>
      </c>
      <c r="Q511" s="22" t="str">
        <f t="shared" si="141"/>
        <v>00</v>
      </c>
      <c r="R511" s="22">
        <f t="shared" si="140"/>
        <v>0</v>
      </c>
      <c r="S511" s="22" t="str">
        <f t="shared" si="142"/>
        <v>00</v>
      </c>
      <c r="T511" s="22">
        <f t="shared" si="145"/>
        <v>1900</v>
      </c>
      <c r="U511" s="22">
        <f t="shared" si="145"/>
        <v>1900</v>
      </c>
      <c r="W511" s="22" t="str">
        <f t="shared" si="143"/>
        <v>190000</v>
      </c>
      <c r="X511" s="22" t="str">
        <f t="shared" si="144"/>
        <v>190000</v>
      </c>
    </row>
    <row r="512" spans="2:24">
      <c r="B512" s="22"/>
      <c r="C512" s="22"/>
      <c r="D512" s="77"/>
      <c r="E512" s="54"/>
      <c r="F512" s="77"/>
      <c r="G512" s="77"/>
      <c r="H512" s="78"/>
      <c r="I512" s="54"/>
      <c r="J512" s="39"/>
      <c r="K512" s="54"/>
      <c r="P512" s="22">
        <f t="shared" ref="P512:P575" si="146">WEEKNUM(F512,2)-1</f>
        <v>0</v>
      </c>
      <c r="Q512" s="22" t="str">
        <f t="shared" si="141"/>
        <v>00</v>
      </c>
      <c r="R512" s="22">
        <f t="shared" ref="R512:R575" si="147">WEEKNUM(G512,2)-1</f>
        <v>0</v>
      </c>
      <c r="S512" s="22" t="str">
        <f t="shared" si="142"/>
        <v>00</v>
      </c>
      <c r="T512" s="22">
        <f t="shared" si="145"/>
        <v>1900</v>
      </c>
      <c r="U512" s="22">
        <f t="shared" si="145"/>
        <v>1900</v>
      </c>
      <c r="W512" s="22" t="str">
        <f t="shared" si="143"/>
        <v>190000</v>
      </c>
      <c r="X512" s="22" t="str">
        <f t="shared" si="144"/>
        <v>190000</v>
      </c>
    </row>
    <row r="513" spans="2:24">
      <c r="B513" s="22"/>
      <c r="C513" s="22"/>
      <c r="D513" s="77"/>
      <c r="E513" s="54"/>
      <c r="F513" s="77"/>
      <c r="G513" s="77"/>
      <c r="H513" s="78"/>
      <c r="I513" s="54"/>
      <c r="J513" s="39"/>
      <c r="K513" s="54"/>
      <c r="P513" s="22">
        <f t="shared" si="146"/>
        <v>0</v>
      </c>
      <c r="Q513" s="22" t="str">
        <f t="shared" si="141"/>
        <v>00</v>
      </c>
      <c r="R513" s="22">
        <f t="shared" si="147"/>
        <v>0</v>
      </c>
      <c r="S513" s="22" t="str">
        <f t="shared" si="142"/>
        <v>00</v>
      </c>
      <c r="T513" s="22">
        <f t="shared" si="145"/>
        <v>1900</v>
      </c>
      <c r="U513" s="22">
        <f t="shared" si="145"/>
        <v>1900</v>
      </c>
      <c r="W513" s="22" t="str">
        <f t="shared" si="143"/>
        <v>190000</v>
      </c>
      <c r="X513" s="22" t="str">
        <f t="shared" si="144"/>
        <v>190000</v>
      </c>
    </row>
    <row r="514" spans="2:24">
      <c r="B514" s="22"/>
      <c r="C514" s="22"/>
      <c r="D514" s="77"/>
      <c r="E514" s="54"/>
      <c r="F514" s="77"/>
      <c r="G514" s="77"/>
      <c r="H514" s="78"/>
      <c r="I514" s="54"/>
      <c r="J514" s="39"/>
      <c r="K514" s="54"/>
      <c r="P514" s="22">
        <f t="shared" si="146"/>
        <v>0</v>
      </c>
      <c r="Q514" s="22" t="str">
        <f t="shared" si="141"/>
        <v>00</v>
      </c>
      <c r="R514" s="22">
        <f t="shared" si="147"/>
        <v>0</v>
      </c>
      <c r="S514" s="22" t="str">
        <f t="shared" si="142"/>
        <v>00</v>
      </c>
      <c r="T514" s="22">
        <f t="shared" si="145"/>
        <v>1900</v>
      </c>
      <c r="U514" s="22">
        <f t="shared" si="145"/>
        <v>1900</v>
      </c>
      <c r="W514" s="22" t="str">
        <f t="shared" si="143"/>
        <v>190000</v>
      </c>
      <c r="X514" s="22" t="str">
        <f t="shared" si="144"/>
        <v>190000</v>
      </c>
    </row>
    <row r="515" spans="2:24">
      <c r="B515" s="22"/>
      <c r="C515" s="22"/>
      <c r="D515" s="77"/>
      <c r="E515" s="54"/>
      <c r="F515" s="77"/>
      <c r="G515" s="77"/>
      <c r="H515" s="78"/>
      <c r="I515" s="54"/>
      <c r="J515" s="39"/>
      <c r="K515" s="54"/>
      <c r="P515" s="22">
        <f t="shared" si="146"/>
        <v>0</v>
      </c>
      <c r="Q515" s="22" t="str">
        <f t="shared" ref="Q515:Q578" si="148">TEXT(P515,"00")</f>
        <v>00</v>
      </c>
      <c r="R515" s="22">
        <f t="shared" si="147"/>
        <v>0</v>
      </c>
      <c r="S515" s="22" t="str">
        <f t="shared" ref="S515:S578" si="149">TEXT(R515,"00")</f>
        <v>00</v>
      </c>
      <c r="T515" s="22">
        <f t="shared" si="145"/>
        <v>1900</v>
      </c>
      <c r="U515" s="22">
        <f t="shared" si="145"/>
        <v>1900</v>
      </c>
      <c r="W515" s="22" t="str">
        <f t="shared" ref="W515:W578" si="150">T515&amp;Q515</f>
        <v>190000</v>
      </c>
      <c r="X515" s="22" t="str">
        <f t="shared" ref="X515:X578" si="151">U515&amp;S515</f>
        <v>190000</v>
      </c>
    </row>
    <row r="516" spans="2:24">
      <c r="B516" s="22"/>
      <c r="C516" s="22"/>
      <c r="D516" s="77"/>
      <c r="E516" s="54"/>
      <c r="F516" s="77"/>
      <c r="G516" s="77"/>
      <c r="H516" s="78"/>
      <c r="I516" s="54"/>
      <c r="J516" s="39"/>
      <c r="K516" s="54"/>
      <c r="P516" s="22">
        <f t="shared" si="146"/>
        <v>0</v>
      </c>
      <c r="Q516" s="22" t="str">
        <f t="shared" si="148"/>
        <v>00</v>
      </c>
      <c r="R516" s="22">
        <f t="shared" si="147"/>
        <v>0</v>
      </c>
      <c r="S516" s="22" t="str">
        <f t="shared" si="149"/>
        <v>00</v>
      </c>
      <c r="T516" s="22">
        <f t="shared" si="145"/>
        <v>1900</v>
      </c>
      <c r="U516" s="22">
        <f t="shared" si="145"/>
        <v>1900</v>
      </c>
      <c r="W516" s="22" t="str">
        <f t="shared" si="150"/>
        <v>190000</v>
      </c>
      <c r="X516" s="22" t="str">
        <f t="shared" si="151"/>
        <v>190000</v>
      </c>
    </row>
    <row r="517" spans="2:24">
      <c r="B517" s="22"/>
      <c r="C517" s="22"/>
      <c r="D517" s="77"/>
      <c r="E517" s="54"/>
      <c r="F517" s="77"/>
      <c r="G517" s="77"/>
      <c r="H517" s="78"/>
      <c r="I517" s="54"/>
      <c r="J517" s="39"/>
      <c r="K517" s="54"/>
      <c r="P517" s="22">
        <f t="shared" si="146"/>
        <v>0</v>
      </c>
      <c r="Q517" s="22" t="str">
        <f t="shared" si="148"/>
        <v>00</v>
      </c>
      <c r="R517" s="22">
        <f t="shared" si="147"/>
        <v>0</v>
      </c>
      <c r="S517" s="22" t="str">
        <f t="shared" si="149"/>
        <v>00</v>
      </c>
      <c r="T517" s="22">
        <f t="shared" si="145"/>
        <v>1900</v>
      </c>
      <c r="U517" s="22">
        <f t="shared" si="145"/>
        <v>1900</v>
      </c>
      <c r="W517" s="22" t="str">
        <f t="shared" si="150"/>
        <v>190000</v>
      </c>
      <c r="X517" s="22" t="str">
        <f t="shared" si="151"/>
        <v>190000</v>
      </c>
    </row>
    <row r="518" spans="2:24">
      <c r="B518" s="22"/>
      <c r="C518" s="22"/>
      <c r="D518" s="77"/>
      <c r="E518" s="54"/>
      <c r="F518" s="77"/>
      <c r="G518" s="77"/>
      <c r="H518" s="78"/>
      <c r="I518" s="54"/>
      <c r="J518" s="39"/>
      <c r="K518" s="54"/>
      <c r="P518" s="22">
        <f t="shared" si="146"/>
        <v>0</v>
      </c>
      <c r="Q518" s="22" t="str">
        <f t="shared" si="148"/>
        <v>00</v>
      </c>
      <c r="R518" s="22">
        <f t="shared" si="147"/>
        <v>0</v>
      </c>
      <c r="S518" s="22" t="str">
        <f t="shared" si="149"/>
        <v>00</v>
      </c>
      <c r="T518" s="22">
        <f t="shared" si="145"/>
        <v>1900</v>
      </c>
      <c r="U518" s="22">
        <f t="shared" si="145"/>
        <v>1900</v>
      </c>
      <c r="W518" s="22" t="str">
        <f t="shared" si="150"/>
        <v>190000</v>
      </c>
      <c r="X518" s="22" t="str">
        <f t="shared" si="151"/>
        <v>190000</v>
      </c>
    </row>
    <row r="519" spans="2:24">
      <c r="B519" s="22"/>
      <c r="C519" s="22"/>
      <c r="D519" s="77"/>
      <c r="E519" s="54"/>
      <c r="F519" s="77"/>
      <c r="G519" s="77"/>
      <c r="H519" s="78"/>
      <c r="I519" s="54"/>
      <c r="J519" s="39"/>
      <c r="K519" s="54"/>
      <c r="P519" s="22">
        <f t="shared" si="146"/>
        <v>0</v>
      </c>
      <c r="Q519" s="22" t="str">
        <f t="shared" si="148"/>
        <v>00</v>
      </c>
      <c r="R519" s="22">
        <f t="shared" si="147"/>
        <v>0</v>
      </c>
      <c r="S519" s="22" t="str">
        <f t="shared" si="149"/>
        <v>00</v>
      </c>
      <c r="T519" s="22">
        <f t="shared" si="145"/>
        <v>1900</v>
      </c>
      <c r="U519" s="22">
        <f t="shared" si="145"/>
        <v>1900</v>
      </c>
      <c r="W519" s="22" t="str">
        <f t="shared" si="150"/>
        <v>190000</v>
      </c>
      <c r="X519" s="22" t="str">
        <f t="shared" si="151"/>
        <v>190000</v>
      </c>
    </row>
    <row r="520" spans="2:24">
      <c r="B520" s="22"/>
      <c r="C520" s="22"/>
      <c r="D520" s="77"/>
      <c r="E520" s="54"/>
      <c r="F520" s="77"/>
      <c r="G520" s="77"/>
      <c r="H520" s="78"/>
      <c r="I520" s="54"/>
      <c r="J520" s="39"/>
      <c r="K520" s="54"/>
      <c r="P520" s="22">
        <f t="shared" si="146"/>
        <v>0</v>
      </c>
      <c r="Q520" s="22" t="str">
        <f t="shared" si="148"/>
        <v>00</v>
      </c>
      <c r="R520" s="22">
        <f t="shared" si="147"/>
        <v>0</v>
      </c>
      <c r="S520" s="22" t="str">
        <f t="shared" si="149"/>
        <v>00</v>
      </c>
      <c r="T520" s="22">
        <f t="shared" si="145"/>
        <v>1900</v>
      </c>
      <c r="U520" s="22">
        <f t="shared" si="145"/>
        <v>1900</v>
      </c>
      <c r="W520" s="22" t="str">
        <f t="shared" si="150"/>
        <v>190000</v>
      </c>
      <c r="X520" s="22" t="str">
        <f t="shared" si="151"/>
        <v>190000</v>
      </c>
    </row>
    <row r="521" spans="2:24">
      <c r="B521" s="22"/>
      <c r="C521" s="22"/>
      <c r="D521" s="77"/>
      <c r="E521" s="54"/>
      <c r="F521" s="77"/>
      <c r="G521" s="77"/>
      <c r="H521" s="78"/>
      <c r="I521" s="54"/>
      <c r="J521" s="39"/>
      <c r="K521" s="54"/>
      <c r="P521" s="22">
        <f t="shared" si="146"/>
        <v>0</v>
      </c>
      <c r="Q521" s="22" t="str">
        <f t="shared" si="148"/>
        <v>00</v>
      </c>
      <c r="R521" s="22">
        <f t="shared" si="147"/>
        <v>0</v>
      </c>
      <c r="S521" s="22" t="str">
        <f t="shared" si="149"/>
        <v>00</v>
      </c>
      <c r="T521" s="22">
        <f t="shared" si="145"/>
        <v>1900</v>
      </c>
      <c r="U521" s="22">
        <f t="shared" si="145"/>
        <v>1900</v>
      </c>
      <c r="W521" s="22" t="str">
        <f t="shared" si="150"/>
        <v>190000</v>
      </c>
      <c r="X521" s="22" t="str">
        <f t="shared" si="151"/>
        <v>190000</v>
      </c>
    </row>
    <row r="522" spans="2:24">
      <c r="B522" s="22"/>
      <c r="C522" s="22"/>
      <c r="D522" s="77"/>
      <c r="E522" s="54"/>
      <c r="F522" s="77"/>
      <c r="G522" s="77"/>
      <c r="H522" s="78"/>
      <c r="I522" s="54"/>
      <c r="J522" s="39"/>
      <c r="K522" s="54"/>
      <c r="P522" s="22">
        <f t="shared" si="146"/>
        <v>0</v>
      </c>
      <c r="Q522" s="22" t="str">
        <f t="shared" si="148"/>
        <v>00</v>
      </c>
      <c r="R522" s="22">
        <f t="shared" si="147"/>
        <v>0</v>
      </c>
      <c r="S522" s="22" t="str">
        <f t="shared" si="149"/>
        <v>00</v>
      </c>
      <c r="T522" s="22">
        <f t="shared" si="145"/>
        <v>1900</v>
      </c>
      <c r="U522" s="22">
        <f t="shared" si="145"/>
        <v>1900</v>
      </c>
      <c r="W522" s="22" t="str">
        <f t="shared" si="150"/>
        <v>190000</v>
      </c>
      <c r="X522" s="22" t="str">
        <f t="shared" si="151"/>
        <v>190000</v>
      </c>
    </row>
    <row r="523" spans="2:24">
      <c r="B523" s="22"/>
      <c r="C523" s="22"/>
      <c r="D523" s="77"/>
      <c r="E523" s="54"/>
      <c r="F523" s="77"/>
      <c r="G523" s="77"/>
      <c r="H523" s="78"/>
      <c r="I523" s="54"/>
      <c r="J523" s="39"/>
      <c r="K523" s="54"/>
      <c r="P523" s="22">
        <f t="shared" si="146"/>
        <v>0</v>
      </c>
      <c r="Q523" s="22" t="str">
        <f t="shared" si="148"/>
        <v>00</v>
      </c>
      <c r="R523" s="22">
        <f t="shared" si="147"/>
        <v>0</v>
      </c>
      <c r="S523" s="22" t="str">
        <f t="shared" si="149"/>
        <v>00</v>
      </c>
      <c r="T523" s="22">
        <f t="shared" si="145"/>
        <v>1900</v>
      </c>
      <c r="U523" s="22">
        <f t="shared" si="145"/>
        <v>1900</v>
      </c>
      <c r="W523" s="22" t="str">
        <f t="shared" si="150"/>
        <v>190000</v>
      </c>
      <c r="X523" s="22" t="str">
        <f t="shared" si="151"/>
        <v>190000</v>
      </c>
    </row>
    <row r="524" spans="2:24">
      <c r="B524" s="22"/>
      <c r="C524" s="22"/>
      <c r="D524" s="77"/>
      <c r="E524" s="54"/>
      <c r="F524" s="77"/>
      <c r="G524" s="77"/>
      <c r="H524" s="78"/>
      <c r="I524" s="54"/>
      <c r="J524" s="39"/>
      <c r="K524" s="54"/>
      <c r="P524" s="22">
        <f t="shared" si="146"/>
        <v>0</v>
      </c>
      <c r="Q524" s="22" t="str">
        <f t="shared" si="148"/>
        <v>00</v>
      </c>
      <c r="R524" s="22">
        <f t="shared" si="147"/>
        <v>0</v>
      </c>
      <c r="S524" s="22" t="str">
        <f t="shared" si="149"/>
        <v>00</v>
      </c>
      <c r="T524" s="22">
        <f t="shared" si="145"/>
        <v>1900</v>
      </c>
      <c r="U524" s="22">
        <f t="shared" si="145"/>
        <v>1900</v>
      </c>
      <c r="W524" s="22" t="str">
        <f t="shared" si="150"/>
        <v>190000</v>
      </c>
      <c r="X524" s="22" t="str">
        <f t="shared" si="151"/>
        <v>190000</v>
      </c>
    </row>
    <row r="525" spans="2:24">
      <c r="B525" s="22"/>
      <c r="C525" s="22"/>
      <c r="D525" s="77"/>
      <c r="E525" s="54"/>
      <c r="F525" s="77"/>
      <c r="G525" s="77"/>
      <c r="H525" s="78"/>
      <c r="I525" s="54"/>
      <c r="J525" s="39"/>
      <c r="K525" s="54"/>
      <c r="P525" s="22">
        <f t="shared" si="146"/>
        <v>0</v>
      </c>
      <c r="Q525" s="22" t="str">
        <f t="shared" si="148"/>
        <v>00</v>
      </c>
      <c r="R525" s="22">
        <f t="shared" si="147"/>
        <v>0</v>
      </c>
      <c r="S525" s="22" t="str">
        <f t="shared" si="149"/>
        <v>00</v>
      </c>
      <c r="T525" s="22">
        <f t="shared" si="145"/>
        <v>1900</v>
      </c>
      <c r="U525" s="22">
        <f t="shared" si="145"/>
        <v>1900</v>
      </c>
      <c r="W525" s="22" t="str">
        <f t="shared" si="150"/>
        <v>190000</v>
      </c>
      <c r="X525" s="22" t="str">
        <f t="shared" si="151"/>
        <v>190000</v>
      </c>
    </row>
    <row r="526" spans="2:24">
      <c r="B526" s="22"/>
      <c r="C526" s="22"/>
      <c r="D526" s="77"/>
      <c r="E526" s="54"/>
      <c r="F526" s="77"/>
      <c r="G526" s="77"/>
      <c r="H526" s="78"/>
      <c r="I526" s="54"/>
      <c r="J526" s="39"/>
      <c r="K526" s="54"/>
      <c r="P526" s="22">
        <f t="shared" si="146"/>
        <v>0</v>
      </c>
      <c r="Q526" s="22" t="str">
        <f t="shared" si="148"/>
        <v>00</v>
      </c>
      <c r="R526" s="22">
        <f t="shared" si="147"/>
        <v>0</v>
      </c>
      <c r="S526" s="22" t="str">
        <f t="shared" si="149"/>
        <v>00</v>
      </c>
      <c r="T526" s="22">
        <f t="shared" si="145"/>
        <v>1900</v>
      </c>
      <c r="U526" s="22">
        <f t="shared" si="145"/>
        <v>1900</v>
      </c>
      <c r="W526" s="22" t="str">
        <f t="shared" si="150"/>
        <v>190000</v>
      </c>
      <c r="X526" s="22" t="str">
        <f t="shared" si="151"/>
        <v>190000</v>
      </c>
    </row>
    <row r="527" spans="2:24">
      <c r="B527" s="22"/>
      <c r="C527" s="22"/>
      <c r="D527" s="77"/>
      <c r="E527" s="54"/>
      <c r="F527" s="77"/>
      <c r="G527" s="77"/>
      <c r="H527" s="78"/>
      <c r="I527" s="54"/>
      <c r="J527" s="39"/>
      <c r="K527" s="54"/>
      <c r="P527" s="22">
        <f t="shared" si="146"/>
        <v>0</v>
      </c>
      <c r="Q527" s="22" t="str">
        <f t="shared" si="148"/>
        <v>00</v>
      </c>
      <c r="R527" s="22">
        <f t="shared" si="147"/>
        <v>0</v>
      </c>
      <c r="S527" s="22" t="str">
        <f t="shared" si="149"/>
        <v>00</v>
      </c>
      <c r="T527" s="22">
        <f t="shared" si="145"/>
        <v>1900</v>
      </c>
      <c r="U527" s="22">
        <f t="shared" si="145"/>
        <v>1900</v>
      </c>
      <c r="W527" s="22" t="str">
        <f t="shared" si="150"/>
        <v>190000</v>
      </c>
      <c r="X527" s="22" t="str">
        <f t="shared" si="151"/>
        <v>190000</v>
      </c>
    </row>
    <row r="528" spans="2:24">
      <c r="B528" s="22"/>
      <c r="C528" s="22"/>
      <c r="D528" s="77"/>
      <c r="E528" s="54"/>
      <c r="F528" s="77"/>
      <c r="G528" s="77"/>
      <c r="H528" s="78"/>
      <c r="I528" s="54"/>
      <c r="J528" s="39"/>
      <c r="K528" s="54"/>
      <c r="P528" s="22">
        <f t="shared" si="146"/>
        <v>0</v>
      </c>
      <c r="Q528" s="22" t="str">
        <f t="shared" si="148"/>
        <v>00</v>
      </c>
      <c r="R528" s="22">
        <f t="shared" si="147"/>
        <v>0</v>
      </c>
      <c r="S528" s="22" t="str">
        <f t="shared" si="149"/>
        <v>00</v>
      </c>
      <c r="T528" s="22">
        <f t="shared" si="145"/>
        <v>1900</v>
      </c>
      <c r="U528" s="22">
        <f t="shared" si="145"/>
        <v>1900</v>
      </c>
      <c r="W528" s="22" t="str">
        <f t="shared" si="150"/>
        <v>190000</v>
      </c>
      <c r="X528" s="22" t="str">
        <f t="shared" si="151"/>
        <v>190000</v>
      </c>
    </row>
    <row r="529" spans="2:24">
      <c r="B529" s="22"/>
      <c r="C529" s="22"/>
      <c r="D529" s="77"/>
      <c r="E529" s="54"/>
      <c r="F529" s="77"/>
      <c r="G529" s="77"/>
      <c r="H529" s="78"/>
      <c r="I529" s="54"/>
      <c r="J529" s="39"/>
      <c r="K529" s="54"/>
      <c r="P529" s="22">
        <f t="shared" si="146"/>
        <v>0</v>
      </c>
      <c r="Q529" s="22" t="str">
        <f t="shared" si="148"/>
        <v>00</v>
      </c>
      <c r="R529" s="22">
        <f t="shared" si="147"/>
        <v>0</v>
      </c>
      <c r="S529" s="22" t="str">
        <f t="shared" si="149"/>
        <v>00</v>
      </c>
      <c r="T529" s="22">
        <f t="shared" si="145"/>
        <v>1900</v>
      </c>
      <c r="U529" s="22">
        <f t="shared" si="145"/>
        <v>1900</v>
      </c>
      <c r="W529" s="22" t="str">
        <f t="shared" si="150"/>
        <v>190000</v>
      </c>
      <c r="X529" s="22" t="str">
        <f t="shared" si="151"/>
        <v>190000</v>
      </c>
    </row>
    <row r="530" spans="2:24">
      <c r="B530" s="22"/>
      <c r="C530" s="22"/>
      <c r="D530" s="77"/>
      <c r="E530" s="54"/>
      <c r="F530" s="77"/>
      <c r="G530" s="77"/>
      <c r="H530" s="78"/>
      <c r="I530" s="54"/>
      <c r="J530" s="39"/>
      <c r="K530" s="54"/>
      <c r="P530" s="22">
        <f t="shared" si="146"/>
        <v>0</v>
      </c>
      <c r="Q530" s="22" t="str">
        <f t="shared" si="148"/>
        <v>00</v>
      </c>
      <c r="R530" s="22">
        <f t="shared" si="147"/>
        <v>0</v>
      </c>
      <c r="S530" s="22" t="str">
        <f t="shared" si="149"/>
        <v>00</v>
      </c>
      <c r="T530" s="22">
        <f t="shared" si="145"/>
        <v>1900</v>
      </c>
      <c r="U530" s="22">
        <f t="shared" si="145"/>
        <v>1900</v>
      </c>
      <c r="W530" s="22" t="str">
        <f t="shared" si="150"/>
        <v>190000</v>
      </c>
      <c r="X530" s="22" t="str">
        <f t="shared" si="151"/>
        <v>190000</v>
      </c>
    </row>
    <row r="531" spans="2:24">
      <c r="B531" s="22"/>
      <c r="C531" s="22"/>
      <c r="D531" s="77"/>
      <c r="E531" s="54"/>
      <c r="F531" s="77"/>
      <c r="G531" s="77"/>
      <c r="H531" s="78"/>
      <c r="I531" s="54"/>
      <c r="J531" s="39"/>
      <c r="K531" s="54"/>
      <c r="P531" s="22">
        <f t="shared" si="146"/>
        <v>0</v>
      </c>
      <c r="Q531" s="22" t="str">
        <f t="shared" si="148"/>
        <v>00</v>
      </c>
      <c r="R531" s="22">
        <f t="shared" si="147"/>
        <v>0</v>
      </c>
      <c r="S531" s="22" t="str">
        <f t="shared" si="149"/>
        <v>00</v>
      </c>
      <c r="T531" s="22">
        <f t="shared" si="145"/>
        <v>1900</v>
      </c>
      <c r="U531" s="22">
        <f t="shared" si="145"/>
        <v>1900</v>
      </c>
      <c r="W531" s="22" t="str">
        <f t="shared" si="150"/>
        <v>190000</v>
      </c>
      <c r="X531" s="22" t="str">
        <f t="shared" si="151"/>
        <v>190000</v>
      </c>
    </row>
    <row r="532" spans="2:24">
      <c r="B532" s="22"/>
      <c r="C532" s="22"/>
      <c r="D532" s="77"/>
      <c r="E532" s="54"/>
      <c r="F532" s="77"/>
      <c r="G532" s="77"/>
      <c r="H532" s="78"/>
      <c r="I532" s="54"/>
      <c r="J532" s="39"/>
      <c r="K532" s="54"/>
      <c r="P532" s="22">
        <f t="shared" si="146"/>
        <v>0</v>
      </c>
      <c r="Q532" s="22" t="str">
        <f t="shared" si="148"/>
        <v>00</v>
      </c>
      <c r="R532" s="22">
        <f t="shared" si="147"/>
        <v>0</v>
      </c>
      <c r="S532" s="22" t="str">
        <f t="shared" si="149"/>
        <v>00</v>
      </c>
      <c r="T532" s="22">
        <f t="shared" ref="T532:U595" si="152">YEAR(F532)</f>
        <v>1900</v>
      </c>
      <c r="U532" s="22">
        <f t="shared" si="152"/>
        <v>1900</v>
      </c>
      <c r="W532" s="22" t="str">
        <f t="shared" si="150"/>
        <v>190000</v>
      </c>
      <c r="X532" s="22" t="str">
        <f t="shared" si="151"/>
        <v>190000</v>
      </c>
    </row>
    <row r="533" spans="2:24">
      <c r="B533" s="22"/>
      <c r="C533" s="22"/>
      <c r="D533" s="77"/>
      <c r="E533" s="54"/>
      <c r="F533" s="77"/>
      <c r="G533" s="77"/>
      <c r="H533" s="78"/>
      <c r="I533" s="54"/>
      <c r="J533" s="39"/>
      <c r="K533" s="54"/>
      <c r="P533" s="22">
        <f t="shared" si="146"/>
        <v>0</v>
      </c>
      <c r="Q533" s="22" t="str">
        <f t="shared" si="148"/>
        <v>00</v>
      </c>
      <c r="R533" s="22">
        <f t="shared" si="147"/>
        <v>0</v>
      </c>
      <c r="S533" s="22" t="str">
        <f t="shared" si="149"/>
        <v>00</v>
      </c>
      <c r="T533" s="22">
        <f t="shared" si="152"/>
        <v>1900</v>
      </c>
      <c r="U533" s="22">
        <f t="shared" si="152"/>
        <v>1900</v>
      </c>
      <c r="W533" s="22" t="str">
        <f t="shared" si="150"/>
        <v>190000</v>
      </c>
      <c r="X533" s="22" t="str">
        <f t="shared" si="151"/>
        <v>190000</v>
      </c>
    </row>
    <row r="534" spans="2:24">
      <c r="B534" s="22"/>
      <c r="C534" s="22"/>
      <c r="D534" s="77"/>
      <c r="E534" s="54"/>
      <c r="F534" s="77"/>
      <c r="G534" s="77"/>
      <c r="H534" s="78"/>
      <c r="I534" s="54"/>
      <c r="J534" s="39"/>
      <c r="K534" s="54"/>
      <c r="P534" s="22">
        <f t="shared" si="146"/>
        <v>0</v>
      </c>
      <c r="Q534" s="22" t="str">
        <f t="shared" si="148"/>
        <v>00</v>
      </c>
      <c r="R534" s="22">
        <f t="shared" si="147"/>
        <v>0</v>
      </c>
      <c r="S534" s="22" t="str">
        <f t="shared" si="149"/>
        <v>00</v>
      </c>
      <c r="T534" s="22">
        <f t="shared" si="152"/>
        <v>1900</v>
      </c>
      <c r="U534" s="22">
        <f t="shared" si="152"/>
        <v>1900</v>
      </c>
      <c r="W534" s="22" t="str">
        <f t="shared" si="150"/>
        <v>190000</v>
      </c>
      <c r="X534" s="22" t="str">
        <f t="shared" si="151"/>
        <v>190000</v>
      </c>
    </row>
    <row r="535" spans="2:24">
      <c r="B535" s="22"/>
      <c r="C535" s="22"/>
      <c r="D535" s="77"/>
      <c r="E535" s="54"/>
      <c r="F535" s="77"/>
      <c r="G535" s="77"/>
      <c r="H535" s="78"/>
      <c r="I535" s="54"/>
      <c r="J535" s="39"/>
      <c r="K535" s="54"/>
      <c r="P535" s="22">
        <f t="shared" si="146"/>
        <v>0</v>
      </c>
      <c r="Q535" s="22" t="str">
        <f t="shared" si="148"/>
        <v>00</v>
      </c>
      <c r="R535" s="22">
        <f t="shared" si="147"/>
        <v>0</v>
      </c>
      <c r="S535" s="22" t="str">
        <f t="shared" si="149"/>
        <v>00</v>
      </c>
      <c r="T535" s="22">
        <f t="shared" si="152"/>
        <v>1900</v>
      </c>
      <c r="U535" s="22">
        <f t="shared" si="152"/>
        <v>1900</v>
      </c>
      <c r="W535" s="22" t="str">
        <f t="shared" si="150"/>
        <v>190000</v>
      </c>
      <c r="X535" s="22" t="str">
        <f t="shared" si="151"/>
        <v>190000</v>
      </c>
    </row>
    <row r="536" spans="2:24">
      <c r="B536" s="22"/>
      <c r="C536" s="22"/>
      <c r="D536" s="77"/>
      <c r="E536" s="54"/>
      <c r="F536" s="77"/>
      <c r="G536" s="77"/>
      <c r="H536" s="78"/>
      <c r="I536" s="54"/>
      <c r="J536" s="39"/>
      <c r="K536" s="54"/>
      <c r="P536" s="22">
        <f t="shared" si="146"/>
        <v>0</v>
      </c>
      <c r="Q536" s="22" t="str">
        <f t="shared" si="148"/>
        <v>00</v>
      </c>
      <c r="R536" s="22">
        <f t="shared" si="147"/>
        <v>0</v>
      </c>
      <c r="S536" s="22" t="str">
        <f t="shared" si="149"/>
        <v>00</v>
      </c>
      <c r="T536" s="22">
        <f t="shared" si="152"/>
        <v>1900</v>
      </c>
      <c r="U536" s="22">
        <f t="shared" si="152"/>
        <v>1900</v>
      </c>
      <c r="W536" s="22" t="str">
        <f t="shared" si="150"/>
        <v>190000</v>
      </c>
      <c r="X536" s="22" t="str">
        <f t="shared" si="151"/>
        <v>190000</v>
      </c>
    </row>
    <row r="537" spans="2:24">
      <c r="B537" s="22"/>
      <c r="C537" s="22"/>
      <c r="D537" s="77"/>
      <c r="E537" s="54"/>
      <c r="F537" s="77"/>
      <c r="G537" s="77"/>
      <c r="H537" s="78"/>
      <c r="I537" s="54"/>
      <c r="J537" s="39"/>
      <c r="K537" s="54"/>
      <c r="P537" s="22">
        <f t="shared" si="146"/>
        <v>0</v>
      </c>
      <c r="Q537" s="22" t="str">
        <f t="shared" si="148"/>
        <v>00</v>
      </c>
      <c r="R537" s="22">
        <f t="shared" si="147"/>
        <v>0</v>
      </c>
      <c r="S537" s="22" t="str">
        <f t="shared" si="149"/>
        <v>00</v>
      </c>
      <c r="T537" s="22">
        <f t="shared" si="152"/>
        <v>1900</v>
      </c>
      <c r="U537" s="22">
        <f t="shared" si="152"/>
        <v>1900</v>
      </c>
      <c r="W537" s="22" t="str">
        <f t="shared" si="150"/>
        <v>190000</v>
      </c>
      <c r="X537" s="22" t="str">
        <f t="shared" si="151"/>
        <v>190000</v>
      </c>
    </row>
    <row r="538" spans="2:24">
      <c r="B538" s="22"/>
      <c r="C538" s="22"/>
      <c r="D538" s="77"/>
      <c r="E538" s="54"/>
      <c r="F538" s="77"/>
      <c r="G538" s="77"/>
      <c r="H538" s="78"/>
      <c r="I538" s="54"/>
      <c r="J538" s="39"/>
      <c r="K538" s="54"/>
      <c r="P538" s="22">
        <f t="shared" si="146"/>
        <v>0</v>
      </c>
      <c r="Q538" s="22" t="str">
        <f t="shared" si="148"/>
        <v>00</v>
      </c>
      <c r="R538" s="22">
        <f t="shared" si="147"/>
        <v>0</v>
      </c>
      <c r="S538" s="22" t="str">
        <f t="shared" si="149"/>
        <v>00</v>
      </c>
      <c r="T538" s="22">
        <f t="shared" si="152"/>
        <v>1900</v>
      </c>
      <c r="U538" s="22">
        <f t="shared" si="152"/>
        <v>1900</v>
      </c>
      <c r="W538" s="22" t="str">
        <f t="shared" si="150"/>
        <v>190000</v>
      </c>
      <c r="X538" s="22" t="str">
        <f t="shared" si="151"/>
        <v>190000</v>
      </c>
    </row>
    <row r="539" spans="2:24">
      <c r="B539" s="22"/>
      <c r="C539" s="22"/>
      <c r="D539" s="77"/>
      <c r="E539" s="54"/>
      <c r="F539" s="77"/>
      <c r="G539" s="77"/>
      <c r="H539" s="78"/>
      <c r="I539" s="54"/>
      <c r="J539" s="39"/>
      <c r="K539" s="54"/>
      <c r="P539" s="22">
        <f t="shared" si="146"/>
        <v>0</v>
      </c>
      <c r="Q539" s="22" t="str">
        <f t="shared" si="148"/>
        <v>00</v>
      </c>
      <c r="R539" s="22">
        <f t="shared" si="147"/>
        <v>0</v>
      </c>
      <c r="S539" s="22" t="str">
        <f t="shared" si="149"/>
        <v>00</v>
      </c>
      <c r="T539" s="22">
        <f t="shared" si="152"/>
        <v>1900</v>
      </c>
      <c r="U539" s="22">
        <f t="shared" si="152"/>
        <v>1900</v>
      </c>
      <c r="W539" s="22" t="str">
        <f t="shared" si="150"/>
        <v>190000</v>
      </c>
      <c r="X539" s="22" t="str">
        <f t="shared" si="151"/>
        <v>190000</v>
      </c>
    </row>
    <row r="540" spans="2:24">
      <c r="B540" s="22"/>
      <c r="C540" s="22"/>
      <c r="D540" s="77"/>
      <c r="E540" s="54"/>
      <c r="F540" s="77"/>
      <c r="G540" s="77"/>
      <c r="H540" s="78"/>
      <c r="I540" s="54"/>
      <c r="J540" s="39"/>
      <c r="K540" s="54"/>
      <c r="P540" s="22">
        <f t="shared" si="146"/>
        <v>0</v>
      </c>
      <c r="Q540" s="22" t="str">
        <f t="shared" si="148"/>
        <v>00</v>
      </c>
      <c r="R540" s="22">
        <f t="shared" si="147"/>
        <v>0</v>
      </c>
      <c r="S540" s="22" t="str">
        <f t="shared" si="149"/>
        <v>00</v>
      </c>
      <c r="T540" s="22">
        <f t="shared" si="152"/>
        <v>1900</v>
      </c>
      <c r="U540" s="22">
        <f t="shared" si="152"/>
        <v>1900</v>
      </c>
      <c r="W540" s="22" t="str">
        <f t="shared" si="150"/>
        <v>190000</v>
      </c>
      <c r="X540" s="22" t="str">
        <f t="shared" si="151"/>
        <v>190000</v>
      </c>
    </row>
    <row r="541" spans="2:24">
      <c r="B541" s="22"/>
      <c r="C541" s="22"/>
      <c r="D541" s="77"/>
      <c r="E541" s="54"/>
      <c r="F541" s="77"/>
      <c r="G541" s="77"/>
      <c r="H541" s="78"/>
      <c r="I541" s="54"/>
      <c r="J541" s="39"/>
      <c r="K541" s="54"/>
      <c r="P541" s="22">
        <f t="shared" si="146"/>
        <v>0</v>
      </c>
      <c r="Q541" s="22" t="str">
        <f t="shared" si="148"/>
        <v>00</v>
      </c>
      <c r="R541" s="22">
        <f t="shared" si="147"/>
        <v>0</v>
      </c>
      <c r="S541" s="22" t="str">
        <f t="shared" si="149"/>
        <v>00</v>
      </c>
      <c r="T541" s="22">
        <f t="shared" si="152"/>
        <v>1900</v>
      </c>
      <c r="U541" s="22">
        <f t="shared" si="152"/>
        <v>1900</v>
      </c>
      <c r="W541" s="22" t="str">
        <f t="shared" si="150"/>
        <v>190000</v>
      </c>
      <c r="X541" s="22" t="str">
        <f t="shared" si="151"/>
        <v>190000</v>
      </c>
    </row>
    <row r="542" spans="2:24">
      <c r="B542" s="22"/>
      <c r="C542" s="22"/>
      <c r="D542" s="77"/>
      <c r="E542" s="54"/>
      <c r="F542" s="77"/>
      <c r="G542" s="77"/>
      <c r="H542" s="78"/>
      <c r="I542" s="54"/>
      <c r="J542" s="39"/>
      <c r="K542" s="54"/>
      <c r="P542" s="22">
        <f t="shared" si="146"/>
        <v>0</v>
      </c>
      <c r="Q542" s="22" t="str">
        <f t="shared" si="148"/>
        <v>00</v>
      </c>
      <c r="R542" s="22">
        <f t="shared" si="147"/>
        <v>0</v>
      </c>
      <c r="S542" s="22" t="str">
        <f t="shared" si="149"/>
        <v>00</v>
      </c>
      <c r="T542" s="22">
        <f t="shared" si="152"/>
        <v>1900</v>
      </c>
      <c r="U542" s="22">
        <f t="shared" si="152"/>
        <v>1900</v>
      </c>
      <c r="W542" s="22" t="str">
        <f t="shared" si="150"/>
        <v>190000</v>
      </c>
      <c r="X542" s="22" t="str">
        <f t="shared" si="151"/>
        <v>190000</v>
      </c>
    </row>
    <row r="543" spans="2:24">
      <c r="B543" s="22"/>
      <c r="C543" s="22"/>
      <c r="D543" s="77"/>
      <c r="E543" s="54"/>
      <c r="F543" s="77"/>
      <c r="G543" s="77"/>
      <c r="H543" s="78"/>
      <c r="I543" s="54"/>
      <c r="J543" s="39"/>
      <c r="K543" s="54"/>
      <c r="P543" s="22">
        <f t="shared" si="146"/>
        <v>0</v>
      </c>
      <c r="Q543" s="22" t="str">
        <f t="shared" si="148"/>
        <v>00</v>
      </c>
      <c r="R543" s="22">
        <f t="shared" si="147"/>
        <v>0</v>
      </c>
      <c r="S543" s="22" t="str">
        <f t="shared" si="149"/>
        <v>00</v>
      </c>
      <c r="T543" s="22">
        <f t="shared" si="152"/>
        <v>1900</v>
      </c>
      <c r="U543" s="22">
        <f t="shared" si="152"/>
        <v>1900</v>
      </c>
      <c r="W543" s="22" t="str">
        <f t="shared" si="150"/>
        <v>190000</v>
      </c>
      <c r="X543" s="22" t="str">
        <f t="shared" si="151"/>
        <v>190000</v>
      </c>
    </row>
    <row r="544" spans="2:24">
      <c r="B544" s="22"/>
      <c r="C544" s="22"/>
      <c r="D544" s="77"/>
      <c r="E544" s="54"/>
      <c r="F544" s="77"/>
      <c r="G544" s="77"/>
      <c r="H544" s="78"/>
      <c r="I544" s="54"/>
      <c r="J544" s="39"/>
      <c r="K544" s="54"/>
      <c r="P544" s="22">
        <f t="shared" si="146"/>
        <v>0</v>
      </c>
      <c r="Q544" s="22" t="str">
        <f t="shared" si="148"/>
        <v>00</v>
      </c>
      <c r="R544" s="22">
        <f t="shared" si="147"/>
        <v>0</v>
      </c>
      <c r="S544" s="22" t="str">
        <f t="shared" si="149"/>
        <v>00</v>
      </c>
      <c r="T544" s="22">
        <f t="shared" si="152"/>
        <v>1900</v>
      </c>
      <c r="U544" s="22">
        <f t="shared" si="152"/>
        <v>1900</v>
      </c>
      <c r="W544" s="22" t="str">
        <f t="shared" si="150"/>
        <v>190000</v>
      </c>
      <c r="X544" s="22" t="str">
        <f t="shared" si="151"/>
        <v>190000</v>
      </c>
    </row>
    <row r="545" spans="2:24">
      <c r="B545" s="22"/>
      <c r="C545" s="22"/>
      <c r="D545" s="77"/>
      <c r="E545" s="54"/>
      <c r="F545" s="77"/>
      <c r="G545" s="77"/>
      <c r="H545" s="78"/>
      <c r="I545" s="54"/>
      <c r="J545" s="39"/>
      <c r="K545" s="54"/>
      <c r="P545" s="22">
        <f t="shared" si="146"/>
        <v>0</v>
      </c>
      <c r="Q545" s="22" t="str">
        <f t="shared" si="148"/>
        <v>00</v>
      </c>
      <c r="R545" s="22">
        <f t="shared" si="147"/>
        <v>0</v>
      </c>
      <c r="S545" s="22" t="str">
        <f t="shared" si="149"/>
        <v>00</v>
      </c>
      <c r="T545" s="22">
        <f t="shared" si="152"/>
        <v>1900</v>
      </c>
      <c r="U545" s="22">
        <f t="shared" si="152"/>
        <v>1900</v>
      </c>
      <c r="W545" s="22" t="str">
        <f t="shared" si="150"/>
        <v>190000</v>
      </c>
      <c r="X545" s="22" t="str">
        <f t="shared" si="151"/>
        <v>190000</v>
      </c>
    </row>
    <row r="546" spans="2:24">
      <c r="B546" s="22"/>
      <c r="C546" s="22"/>
      <c r="D546" s="77"/>
      <c r="E546" s="54"/>
      <c r="F546" s="77"/>
      <c r="G546" s="77"/>
      <c r="H546" s="78"/>
      <c r="I546" s="54"/>
      <c r="J546" s="39"/>
      <c r="K546" s="54"/>
      <c r="P546" s="22">
        <f t="shared" si="146"/>
        <v>0</v>
      </c>
      <c r="Q546" s="22" t="str">
        <f t="shared" si="148"/>
        <v>00</v>
      </c>
      <c r="R546" s="22">
        <f t="shared" si="147"/>
        <v>0</v>
      </c>
      <c r="S546" s="22" t="str">
        <f t="shared" si="149"/>
        <v>00</v>
      </c>
      <c r="T546" s="22">
        <f t="shared" si="152"/>
        <v>1900</v>
      </c>
      <c r="U546" s="22">
        <f t="shared" si="152"/>
        <v>1900</v>
      </c>
      <c r="W546" s="22" t="str">
        <f t="shared" si="150"/>
        <v>190000</v>
      </c>
      <c r="X546" s="22" t="str">
        <f t="shared" si="151"/>
        <v>190000</v>
      </c>
    </row>
    <row r="547" spans="2:24">
      <c r="B547" s="22"/>
      <c r="C547" s="22"/>
      <c r="D547" s="77"/>
      <c r="E547" s="54"/>
      <c r="F547" s="77"/>
      <c r="G547" s="77"/>
      <c r="H547" s="78"/>
      <c r="I547" s="54"/>
      <c r="J547" s="39"/>
      <c r="K547" s="54"/>
      <c r="P547" s="22">
        <f t="shared" si="146"/>
        <v>0</v>
      </c>
      <c r="Q547" s="22" t="str">
        <f t="shared" si="148"/>
        <v>00</v>
      </c>
      <c r="R547" s="22">
        <f t="shared" si="147"/>
        <v>0</v>
      </c>
      <c r="S547" s="22" t="str">
        <f t="shared" si="149"/>
        <v>00</v>
      </c>
      <c r="T547" s="22">
        <f t="shared" si="152"/>
        <v>1900</v>
      </c>
      <c r="U547" s="22">
        <f t="shared" si="152"/>
        <v>1900</v>
      </c>
      <c r="W547" s="22" t="str">
        <f t="shared" si="150"/>
        <v>190000</v>
      </c>
      <c r="X547" s="22" t="str">
        <f t="shared" si="151"/>
        <v>190000</v>
      </c>
    </row>
    <row r="548" spans="2:24">
      <c r="B548" s="22"/>
      <c r="C548" s="22"/>
      <c r="D548" s="77"/>
      <c r="E548" s="54"/>
      <c r="F548" s="77"/>
      <c r="G548" s="77"/>
      <c r="H548" s="78"/>
      <c r="I548" s="54"/>
      <c r="J548" s="39"/>
      <c r="K548" s="54"/>
      <c r="P548" s="22">
        <f t="shared" si="146"/>
        <v>0</v>
      </c>
      <c r="Q548" s="22" t="str">
        <f t="shared" si="148"/>
        <v>00</v>
      </c>
      <c r="R548" s="22">
        <f t="shared" si="147"/>
        <v>0</v>
      </c>
      <c r="S548" s="22" t="str">
        <f t="shared" si="149"/>
        <v>00</v>
      </c>
      <c r="T548" s="22">
        <f t="shared" si="152"/>
        <v>1900</v>
      </c>
      <c r="U548" s="22">
        <f t="shared" si="152"/>
        <v>1900</v>
      </c>
      <c r="W548" s="22" t="str">
        <f t="shared" si="150"/>
        <v>190000</v>
      </c>
      <c r="X548" s="22" t="str">
        <f t="shared" si="151"/>
        <v>190000</v>
      </c>
    </row>
    <row r="549" spans="2:24">
      <c r="B549" s="22"/>
      <c r="C549" s="22"/>
      <c r="D549" s="77"/>
      <c r="E549" s="54"/>
      <c r="F549" s="77"/>
      <c r="G549" s="77"/>
      <c r="H549" s="78"/>
      <c r="I549" s="54"/>
      <c r="J549" s="39"/>
      <c r="K549" s="54"/>
      <c r="P549" s="22">
        <f t="shared" si="146"/>
        <v>0</v>
      </c>
      <c r="Q549" s="22" t="str">
        <f t="shared" si="148"/>
        <v>00</v>
      </c>
      <c r="R549" s="22">
        <f t="shared" si="147"/>
        <v>0</v>
      </c>
      <c r="S549" s="22" t="str">
        <f t="shared" si="149"/>
        <v>00</v>
      </c>
      <c r="T549" s="22">
        <f t="shared" si="152"/>
        <v>1900</v>
      </c>
      <c r="U549" s="22">
        <f t="shared" si="152"/>
        <v>1900</v>
      </c>
      <c r="W549" s="22" t="str">
        <f t="shared" si="150"/>
        <v>190000</v>
      </c>
      <c r="X549" s="22" t="str">
        <f t="shared" si="151"/>
        <v>190000</v>
      </c>
    </row>
    <row r="550" spans="2:24">
      <c r="B550" s="22"/>
      <c r="C550" s="22"/>
      <c r="D550" s="77"/>
      <c r="E550" s="54"/>
      <c r="F550" s="77"/>
      <c r="G550" s="77"/>
      <c r="H550" s="78"/>
      <c r="I550" s="54"/>
      <c r="J550" s="39"/>
      <c r="K550" s="54"/>
      <c r="P550" s="22">
        <f t="shared" si="146"/>
        <v>0</v>
      </c>
      <c r="Q550" s="22" t="str">
        <f t="shared" si="148"/>
        <v>00</v>
      </c>
      <c r="R550" s="22">
        <f t="shared" si="147"/>
        <v>0</v>
      </c>
      <c r="S550" s="22" t="str">
        <f t="shared" si="149"/>
        <v>00</v>
      </c>
      <c r="T550" s="22">
        <f t="shared" si="152"/>
        <v>1900</v>
      </c>
      <c r="U550" s="22">
        <f t="shared" si="152"/>
        <v>1900</v>
      </c>
      <c r="W550" s="22" t="str">
        <f t="shared" si="150"/>
        <v>190000</v>
      </c>
      <c r="X550" s="22" t="str">
        <f t="shared" si="151"/>
        <v>190000</v>
      </c>
    </row>
    <row r="551" spans="2:24">
      <c r="B551" s="22"/>
      <c r="C551" s="22"/>
      <c r="D551" s="77"/>
      <c r="E551" s="54"/>
      <c r="F551" s="77"/>
      <c r="G551" s="77"/>
      <c r="H551" s="78"/>
      <c r="I551" s="54"/>
      <c r="J551" s="39"/>
      <c r="K551" s="54"/>
      <c r="P551" s="22">
        <f t="shared" si="146"/>
        <v>0</v>
      </c>
      <c r="Q551" s="22" t="str">
        <f t="shared" si="148"/>
        <v>00</v>
      </c>
      <c r="R551" s="22">
        <f t="shared" si="147"/>
        <v>0</v>
      </c>
      <c r="S551" s="22" t="str">
        <f t="shared" si="149"/>
        <v>00</v>
      </c>
      <c r="T551" s="22">
        <f t="shared" si="152"/>
        <v>1900</v>
      </c>
      <c r="U551" s="22">
        <f t="shared" si="152"/>
        <v>1900</v>
      </c>
      <c r="W551" s="22" t="str">
        <f t="shared" si="150"/>
        <v>190000</v>
      </c>
      <c r="X551" s="22" t="str">
        <f t="shared" si="151"/>
        <v>190000</v>
      </c>
    </row>
    <row r="552" spans="2:24">
      <c r="B552" s="22"/>
      <c r="C552" s="22"/>
      <c r="D552" s="77"/>
      <c r="E552" s="54"/>
      <c r="F552" s="77"/>
      <c r="G552" s="77"/>
      <c r="H552" s="78"/>
      <c r="I552" s="54"/>
      <c r="J552" s="39"/>
      <c r="K552" s="54"/>
      <c r="P552" s="22">
        <f t="shared" si="146"/>
        <v>0</v>
      </c>
      <c r="Q552" s="22" t="str">
        <f t="shared" si="148"/>
        <v>00</v>
      </c>
      <c r="R552" s="22">
        <f t="shared" si="147"/>
        <v>0</v>
      </c>
      <c r="S552" s="22" t="str">
        <f t="shared" si="149"/>
        <v>00</v>
      </c>
      <c r="T552" s="22">
        <f t="shared" si="152"/>
        <v>1900</v>
      </c>
      <c r="U552" s="22">
        <f t="shared" si="152"/>
        <v>1900</v>
      </c>
      <c r="W552" s="22" t="str">
        <f t="shared" si="150"/>
        <v>190000</v>
      </c>
      <c r="X552" s="22" t="str">
        <f t="shared" si="151"/>
        <v>190000</v>
      </c>
    </row>
    <row r="553" spans="2:24">
      <c r="B553" s="22"/>
      <c r="C553" s="22"/>
      <c r="D553" s="77"/>
      <c r="E553" s="54"/>
      <c r="F553" s="77"/>
      <c r="G553" s="77"/>
      <c r="H553" s="78"/>
      <c r="I553" s="54"/>
      <c r="J553" s="39"/>
      <c r="K553" s="54"/>
      <c r="P553" s="22">
        <f t="shared" si="146"/>
        <v>0</v>
      </c>
      <c r="Q553" s="22" t="str">
        <f t="shared" si="148"/>
        <v>00</v>
      </c>
      <c r="R553" s="22">
        <f t="shared" si="147"/>
        <v>0</v>
      </c>
      <c r="S553" s="22" t="str">
        <f t="shared" si="149"/>
        <v>00</v>
      </c>
      <c r="T553" s="22">
        <f t="shared" si="152"/>
        <v>1900</v>
      </c>
      <c r="U553" s="22">
        <f t="shared" si="152"/>
        <v>1900</v>
      </c>
      <c r="W553" s="22" t="str">
        <f t="shared" si="150"/>
        <v>190000</v>
      </c>
      <c r="X553" s="22" t="str">
        <f t="shared" si="151"/>
        <v>190000</v>
      </c>
    </row>
    <row r="554" spans="2:24">
      <c r="B554" s="22"/>
      <c r="C554" s="22"/>
      <c r="D554" s="77"/>
      <c r="E554" s="54"/>
      <c r="F554" s="77"/>
      <c r="G554" s="77"/>
      <c r="H554" s="78"/>
      <c r="I554" s="54"/>
      <c r="J554" s="39"/>
      <c r="K554" s="54"/>
      <c r="P554" s="22">
        <f t="shared" si="146"/>
        <v>0</v>
      </c>
      <c r="Q554" s="22" t="str">
        <f t="shared" si="148"/>
        <v>00</v>
      </c>
      <c r="R554" s="22">
        <f t="shared" si="147"/>
        <v>0</v>
      </c>
      <c r="S554" s="22" t="str">
        <f t="shared" si="149"/>
        <v>00</v>
      </c>
      <c r="T554" s="22">
        <f t="shared" si="152"/>
        <v>1900</v>
      </c>
      <c r="U554" s="22">
        <f t="shared" si="152"/>
        <v>1900</v>
      </c>
      <c r="W554" s="22" t="str">
        <f t="shared" si="150"/>
        <v>190000</v>
      </c>
      <c r="X554" s="22" t="str">
        <f t="shared" si="151"/>
        <v>190000</v>
      </c>
    </row>
    <row r="555" spans="2:24">
      <c r="B555" s="22"/>
      <c r="C555" s="22"/>
      <c r="D555" s="77"/>
      <c r="E555" s="54"/>
      <c r="F555" s="77"/>
      <c r="G555" s="77"/>
      <c r="H555" s="78"/>
      <c r="I555" s="54"/>
      <c r="J555" s="39"/>
      <c r="K555" s="54"/>
      <c r="P555" s="22">
        <f t="shared" si="146"/>
        <v>0</v>
      </c>
      <c r="Q555" s="22" t="str">
        <f t="shared" si="148"/>
        <v>00</v>
      </c>
      <c r="R555" s="22">
        <f t="shared" si="147"/>
        <v>0</v>
      </c>
      <c r="S555" s="22" t="str">
        <f t="shared" si="149"/>
        <v>00</v>
      </c>
      <c r="T555" s="22">
        <f t="shared" si="152"/>
        <v>1900</v>
      </c>
      <c r="U555" s="22">
        <f t="shared" si="152"/>
        <v>1900</v>
      </c>
      <c r="W555" s="22" t="str">
        <f t="shared" si="150"/>
        <v>190000</v>
      </c>
      <c r="X555" s="22" t="str">
        <f t="shared" si="151"/>
        <v>190000</v>
      </c>
    </row>
    <row r="556" spans="2:24">
      <c r="B556" s="22"/>
      <c r="C556" s="22"/>
      <c r="D556" s="77"/>
      <c r="E556" s="54"/>
      <c r="F556" s="77"/>
      <c r="G556" s="77"/>
      <c r="H556" s="78"/>
      <c r="I556" s="54"/>
      <c r="J556" s="39"/>
      <c r="K556" s="54"/>
      <c r="P556" s="22">
        <f t="shared" si="146"/>
        <v>0</v>
      </c>
      <c r="Q556" s="22" t="str">
        <f t="shared" si="148"/>
        <v>00</v>
      </c>
      <c r="R556" s="22">
        <f t="shared" si="147"/>
        <v>0</v>
      </c>
      <c r="S556" s="22" t="str">
        <f t="shared" si="149"/>
        <v>00</v>
      </c>
      <c r="T556" s="22">
        <f t="shared" si="152"/>
        <v>1900</v>
      </c>
      <c r="U556" s="22">
        <f t="shared" si="152"/>
        <v>1900</v>
      </c>
      <c r="W556" s="22" t="str">
        <f t="shared" si="150"/>
        <v>190000</v>
      </c>
      <c r="X556" s="22" t="str">
        <f t="shared" si="151"/>
        <v>190000</v>
      </c>
    </row>
    <row r="557" spans="2:24">
      <c r="B557" s="22"/>
      <c r="C557" s="22"/>
      <c r="D557" s="77"/>
      <c r="E557" s="54"/>
      <c r="F557" s="77"/>
      <c r="G557" s="77"/>
      <c r="H557" s="78"/>
      <c r="I557" s="54"/>
      <c r="J557" s="39"/>
      <c r="K557" s="54"/>
      <c r="P557" s="22">
        <f t="shared" si="146"/>
        <v>0</v>
      </c>
      <c r="Q557" s="22" t="str">
        <f t="shared" si="148"/>
        <v>00</v>
      </c>
      <c r="R557" s="22">
        <f t="shared" si="147"/>
        <v>0</v>
      </c>
      <c r="S557" s="22" t="str">
        <f t="shared" si="149"/>
        <v>00</v>
      </c>
      <c r="T557" s="22">
        <f t="shared" si="152"/>
        <v>1900</v>
      </c>
      <c r="U557" s="22">
        <f t="shared" si="152"/>
        <v>1900</v>
      </c>
      <c r="W557" s="22" t="str">
        <f t="shared" si="150"/>
        <v>190000</v>
      </c>
      <c r="X557" s="22" t="str">
        <f t="shared" si="151"/>
        <v>190000</v>
      </c>
    </row>
    <row r="558" spans="2:24">
      <c r="B558" s="22"/>
      <c r="C558" s="22"/>
      <c r="D558" s="77"/>
      <c r="E558" s="54"/>
      <c r="F558" s="77"/>
      <c r="G558" s="77"/>
      <c r="H558" s="78"/>
      <c r="I558" s="54"/>
      <c r="J558" s="39"/>
      <c r="K558" s="54"/>
      <c r="P558" s="22">
        <f t="shared" si="146"/>
        <v>0</v>
      </c>
      <c r="Q558" s="22" t="str">
        <f t="shared" si="148"/>
        <v>00</v>
      </c>
      <c r="R558" s="22">
        <f t="shared" si="147"/>
        <v>0</v>
      </c>
      <c r="S558" s="22" t="str">
        <f t="shared" si="149"/>
        <v>00</v>
      </c>
      <c r="T558" s="22">
        <f t="shared" si="152"/>
        <v>1900</v>
      </c>
      <c r="U558" s="22">
        <f t="shared" si="152"/>
        <v>1900</v>
      </c>
      <c r="W558" s="22" t="str">
        <f t="shared" si="150"/>
        <v>190000</v>
      </c>
      <c r="X558" s="22" t="str">
        <f t="shared" si="151"/>
        <v>190000</v>
      </c>
    </row>
    <row r="559" spans="2:24">
      <c r="B559" s="22"/>
      <c r="C559" s="22"/>
      <c r="D559" s="77"/>
      <c r="E559" s="54"/>
      <c r="F559" s="77"/>
      <c r="G559" s="77"/>
      <c r="H559" s="78"/>
      <c r="I559" s="54"/>
      <c r="J559" s="39"/>
      <c r="K559" s="54"/>
      <c r="P559" s="22">
        <f t="shared" si="146"/>
        <v>0</v>
      </c>
      <c r="Q559" s="22" t="str">
        <f t="shared" si="148"/>
        <v>00</v>
      </c>
      <c r="R559" s="22">
        <f t="shared" si="147"/>
        <v>0</v>
      </c>
      <c r="S559" s="22" t="str">
        <f t="shared" si="149"/>
        <v>00</v>
      </c>
      <c r="T559" s="22">
        <f t="shared" si="152"/>
        <v>1900</v>
      </c>
      <c r="U559" s="22">
        <f t="shared" si="152"/>
        <v>1900</v>
      </c>
      <c r="W559" s="22" t="str">
        <f t="shared" si="150"/>
        <v>190000</v>
      </c>
      <c r="X559" s="22" t="str">
        <f t="shared" si="151"/>
        <v>190000</v>
      </c>
    </row>
    <row r="560" spans="2:24">
      <c r="B560" s="22"/>
      <c r="C560" s="22"/>
      <c r="D560" s="77"/>
      <c r="E560" s="54"/>
      <c r="F560" s="77"/>
      <c r="G560" s="77"/>
      <c r="H560" s="78"/>
      <c r="I560" s="54"/>
      <c r="J560" s="39"/>
      <c r="K560" s="54"/>
      <c r="P560" s="22">
        <f t="shared" si="146"/>
        <v>0</v>
      </c>
      <c r="Q560" s="22" t="str">
        <f t="shared" si="148"/>
        <v>00</v>
      </c>
      <c r="R560" s="22">
        <f t="shared" si="147"/>
        <v>0</v>
      </c>
      <c r="S560" s="22" t="str">
        <f t="shared" si="149"/>
        <v>00</v>
      </c>
      <c r="T560" s="22">
        <f t="shared" si="152"/>
        <v>1900</v>
      </c>
      <c r="U560" s="22">
        <f t="shared" si="152"/>
        <v>1900</v>
      </c>
      <c r="W560" s="22" t="str">
        <f t="shared" si="150"/>
        <v>190000</v>
      </c>
      <c r="X560" s="22" t="str">
        <f t="shared" si="151"/>
        <v>190000</v>
      </c>
    </row>
    <row r="561" spans="2:24">
      <c r="B561" s="22"/>
      <c r="C561" s="22"/>
      <c r="D561" s="77"/>
      <c r="E561" s="54"/>
      <c r="F561" s="77"/>
      <c r="G561" s="77"/>
      <c r="H561" s="78"/>
      <c r="I561" s="54"/>
      <c r="J561" s="39"/>
      <c r="K561" s="54"/>
      <c r="P561" s="22">
        <f t="shared" si="146"/>
        <v>0</v>
      </c>
      <c r="Q561" s="22" t="str">
        <f t="shared" si="148"/>
        <v>00</v>
      </c>
      <c r="R561" s="22">
        <f t="shared" si="147"/>
        <v>0</v>
      </c>
      <c r="S561" s="22" t="str">
        <f t="shared" si="149"/>
        <v>00</v>
      </c>
      <c r="T561" s="22">
        <f t="shared" si="152"/>
        <v>1900</v>
      </c>
      <c r="U561" s="22">
        <f t="shared" si="152"/>
        <v>1900</v>
      </c>
      <c r="W561" s="22" t="str">
        <f t="shared" si="150"/>
        <v>190000</v>
      </c>
      <c r="X561" s="22" t="str">
        <f t="shared" si="151"/>
        <v>190000</v>
      </c>
    </row>
    <row r="562" spans="2:24">
      <c r="B562" s="22"/>
      <c r="C562" s="22"/>
      <c r="D562" s="77"/>
      <c r="E562" s="54"/>
      <c r="F562" s="77"/>
      <c r="G562" s="77"/>
      <c r="H562" s="78"/>
      <c r="I562" s="54"/>
      <c r="J562" s="39"/>
      <c r="K562" s="54"/>
      <c r="P562" s="22">
        <f t="shared" si="146"/>
        <v>0</v>
      </c>
      <c r="Q562" s="22" t="str">
        <f t="shared" si="148"/>
        <v>00</v>
      </c>
      <c r="R562" s="22">
        <f t="shared" si="147"/>
        <v>0</v>
      </c>
      <c r="S562" s="22" t="str">
        <f t="shared" si="149"/>
        <v>00</v>
      </c>
      <c r="T562" s="22">
        <f t="shared" si="152"/>
        <v>1900</v>
      </c>
      <c r="U562" s="22">
        <f t="shared" si="152"/>
        <v>1900</v>
      </c>
      <c r="W562" s="22" t="str">
        <f t="shared" si="150"/>
        <v>190000</v>
      </c>
      <c r="X562" s="22" t="str">
        <f t="shared" si="151"/>
        <v>190000</v>
      </c>
    </row>
    <row r="563" spans="2:24">
      <c r="B563" s="22"/>
      <c r="C563" s="22"/>
      <c r="D563" s="77"/>
      <c r="E563" s="54"/>
      <c r="F563" s="77"/>
      <c r="G563" s="77"/>
      <c r="H563" s="78"/>
      <c r="I563" s="54"/>
      <c r="J563" s="39"/>
      <c r="K563" s="54"/>
      <c r="P563" s="22">
        <f t="shared" si="146"/>
        <v>0</v>
      </c>
      <c r="Q563" s="22" t="str">
        <f t="shared" si="148"/>
        <v>00</v>
      </c>
      <c r="R563" s="22">
        <f t="shared" si="147"/>
        <v>0</v>
      </c>
      <c r="S563" s="22" t="str">
        <f t="shared" si="149"/>
        <v>00</v>
      </c>
      <c r="T563" s="22">
        <f t="shared" si="152"/>
        <v>1900</v>
      </c>
      <c r="U563" s="22">
        <f t="shared" si="152"/>
        <v>1900</v>
      </c>
      <c r="W563" s="22" t="str">
        <f t="shared" si="150"/>
        <v>190000</v>
      </c>
      <c r="X563" s="22" t="str">
        <f t="shared" si="151"/>
        <v>190000</v>
      </c>
    </row>
    <row r="564" spans="2:24">
      <c r="B564" s="22"/>
      <c r="C564" s="22"/>
      <c r="D564" s="77"/>
      <c r="E564" s="54"/>
      <c r="F564" s="77"/>
      <c r="G564" s="77"/>
      <c r="H564" s="78"/>
      <c r="I564" s="54"/>
      <c r="J564" s="39"/>
      <c r="K564" s="54"/>
      <c r="P564" s="22">
        <f t="shared" si="146"/>
        <v>0</v>
      </c>
      <c r="Q564" s="22" t="str">
        <f t="shared" si="148"/>
        <v>00</v>
      </c>
      <c r="R564" s="22">
        <f t="shared" si="147"/>
        <v>0</v>
      </c>
      <c r="S564" s="22" t="str">
        <f t="shared" si="149"/>
        <v>00</v>
      </c>
      <c r="T564" s="22">
        <f t="shared" si="152"/>
        <v>1900</v>
      </c>
      <c r="U564" s="22">
        <f t="shared" si="152"/>
        <v>1900</v>
      </c>
      <c r="W564" s="22" t="str">
        <f t="shared" si="150"/>
        <v>190000</v>
      </c>
      <c r="X564" s="22" t="str">
        <f t="shared" si="151"/>
        <v>190000</v>
      </c>
    </row>
    <row r="565" spans="2:24">
      <c r="B565" s="22"/>
      <c r="C565" s="22"/>
      <c r="D565" s="77"/>
      <c r="E565" s="54"/>
      <c r="F565" s="77"/>
      <c r="G565" s="77"/>
      <c r="H565" s="78"/>
      <c r="I565" s="54"/>
      <c r="J565" s="39"/>
      <c r="K565" s="54"/>
      <c r="P565" s="22">
        <f t="shared" si="146"/>
        <v>0</v>
      </c>
      <c r="Q565" s="22" t="str">
        <f t="shared" si="148"/>
        <v>00</v>
      </c>
      <c r="R565" s="22">
        <f t="shared" si="147"/>
        <v>0</v>
      </c>
      <c r="S565" s="22" t="str">
        <f t="shared" si="149"/>
        <v>00</v>
      </c>
      <c r="T565" s="22">
        <f t="shared" si="152"/>
        <v>1900</v>
      </c>
      <c r="U565" s="22">
        <f t="shared" si="152"/>
        <v>1900</v>
      </c>
      <c r="W565" s="22" t="str">
        <f t="shared" si="150"/>
        <v>190000</v>
      </c>
      <c r="X565" s="22" t="str">
        <f t="shared" si="151"/>
        <v>190000</v>
      </c>
    </row>
    <row r="566" spans="2:24">
      <c r="B566" s="22"/>
      <c r="C566" s="22"/>
      <c r="D566" s="77"/>
      <c r="E566" s="54"/>
      <c r="F566" s="77"/>
      <c r="G566" s="77"/>
      <c r="H566" s="78"/>
      <c r="I566" s="54"/>
      <c r="J566" s="39"/>
      <c r="K566" s="54"/>
      <c r="P566" s="22">
        <f t="shared" si="146"/>
        <v>0</v>
      </c>
      <c r="Q566" s="22" t="str">
        <f t="shared" si="148"/>
        <v>00</v>
      </c>
      <c r="R566" s="22">
        <f t="shared" si="147"/>
        <v>0</v>
      </c>
      <c r="S566" s="22" t="str">
        <f t="shared" si="149"/>
        <v>00</v>
      </c>
      <c r="T566" s="22">
        <f t="shared" si="152"/>
        <v>1900</v>
      </c>
      <c r="U566" s="22">
        <f t="shared" si="152"/>
        <v>1900</v>
      </c>
      <c r="W566" s="22" t="str">
        <f t="shared" si="150"/>
        <v>190000</v>
      </c>
      <c r="X566" s="22" t="str">
        <f t="shared" si="151"/>
        <v>190000</v>
      </c>
    </row>
    <row r="567" spans="2:24">
      <c r="B567" s="22"/>
      <c r="C567" s="22"/>
      <c r="D567" s="77"/>
      <c r="E567" s="54"/>
      <c r="F567" s="77"/>
      <c r="G567" s="77"/>
      <c r="H567" s="78"/>
      <c r="I567" s="54"/>
      <c r="J567" s="39"/>
      <c r="K567" s="54"/>
      <c r="P567" s="22">
        <f t="shared" si="146"/>
        <v>0</v>
      </c>
      <c r="Q567" s="22" t="str">
        <f t="shared" si="148"/>
        <v>00</v>
      </c>
      <c r="R567" s="22">
        <f t="shared" si="147"/>
        <v>0</v>
      </c>
      <c r="S567" s="22" t="str">
        <f t="shared" si="149"/>
        <v>00</v>
      </c>
      <c r="T567" s="22">
        <f t="shared" si="152"/>
        <v>1900</v>
      </c>
      <c r="U567" s="22">
        <f t="shared" si="152"/>
        <v>1900</v>
      </c>
      <c r="W567" s="22" t="str">
        <f t="shared" si="150"/>
        <v>190000</v>
      </c>
      <c r="X567" s="22" t="str">
        <f t="shared" si="151"/>
        <v>190000</v>
      </c>
    </row>
    <row r="568" spans="2:24">
      <c r="B568" s="22"/>
      <c r="C568" s="22"/>
      <c r="D568" s="77"/>
      <c r="E568" s="54"/>
      <c r="F568" s="77"/>
      <c r="G568" s="77"/>
      <c r="H568" s="78"/>
      <c r="I568" s="54"/>
      <c r="J568" s="39"/>
      <c r="K568" s="54"/>
      <c r="P568" s="22">
        <f t="shared" si="146"/>
        <v>0</v>
      </c>
      <c r="Q568" s="22" t="str">
        <f t="shared" si="148"/>
        <v>00</v>
      </c>
      <c r="R568" s="22">
        <f t="shared" si="147"/>
        <v>0</v>
      </c>
      <c r="S568" s="22" t="str">
        <f t="shared" si="149"/>
        <v>00</v>
      </c>
      <c r="T568" s="22">
        <f t="shared" si="152"/>
        <v>1900</v>
      </c>
      <c r="U568" s="22">
        <f t="shared" si="152"/>
        <v>1900</v>
      </c>
      <c r="W568" s="22" t="str">
        <f t="shared" si="150"/>
        <v>190000</v>
      </c>
      <c r="X568" s="22" t="str">
        <f t="shared" si="151"/>
        <v>190000</v>
      </c>
    </row>
    <row r="569" spans="2:24">
      <c r="B569" s="22"/>
      <c r="C569" s="22"/>
      <c r="D569" s="77"/>
      <c r="E569" s="54"/>
      <c r="F569" s="77"/>
      <c r="G569" s="77"/>
      <c r="H569" s="78"/>
      <c r="I569" s="54"/>
      <c r="J569" s="39"/>
      <c r="K569" s="54"/>
      <c r="P569" s="22">
        <f t="shared" si="146"/>
        <v>0</v>
      </c>
      <c r="Q569" s="22" t="str">
        <f t="shared" si="148"/>
        <v>00</v>
      </c>
      <c r="R569" s="22">
        <f t="shared" si="147"/>
        <v>0</v>
      </c>
      <c r="S569" s="22" t="str">
        <f t="shared" si="149"/>
        <v>00</v>
      </c>
      <c r="T569" s="22">
        <f t="shared" si="152"/>
        <v>1900</v>
      </c>
      <c r="U569" s="22">
        <f t="shared" si="152"/>
        <v>1900</v>
      </c>
      <c r="W569" s="22" t="str">
        <f t="shared" si="150"/>
        <v>190000</v>
      </c>
      <c r="X569" s="22" t="str">
        <f t="shared" si="151"/>
        <v>190000</v>
      </c>
    </row>
    <row r="570" spans="2:24">
      <c r="B570" s="22"/>
      <c r="C570" s="22"/>
      <c r="D570" s="77"/>
      <c r="E570" s="54"/>
      <c r="F570" s="77"/>
      <c r="G570" s="77"/>
      <c r="H570" s="78"/>
      <c r="I570" s="54"/>
      <c r="J570" s="39"/>
      <c r="K570" s="54"/>
      <c r="P570" s="22">
        <f t="shared" si="146"/>
        <v>0</v>
      </c>
      <c r="Q570" s="22" t="str">
        <f t="shared" si="148"/>
        <v>00</v>
      </c>
      <c r="R570" s="22">
        <f t="shared" si="147"/>
        <v>0</v>
      </c>
      <c r="S570" s="22" t="str">
        <f t="shared" si="149"/>
        <v>00</v>
      </c>
      <c r="T570" s="22">
        <f t="shared" si="152"/>
        <v>1900</v>
      </c>
      <c r="U570" s="22">
        <f t="shared" si="152"/>
        <v>1900</v>
      </c>
      <c r="W570" s="22" t="str">
        <f t="shared" si="150"/>
        <v>190000</v>
      </c>
      <c r="X570" s="22" t="str">
        <f t="shared" si="151"/>
        <v>190000</v>
      </c>
    </row>
    <row r="571" spans="2:24">
      <c r="B571" s="22"/>
      <c r="C571" s="22"/>
      <c r="D571" s="77"/>
      <c r="E571" s="54"/>
      <c r="F571" s="77"/>
      <c r="G571" s="77"/>
      <c r="H571" s="78"/>
      <c r="I571" s="54"/>
      <c r="J571" s="39"/>
      <c r="K571" s="54"/>
      <c r="P571" s="22">
        <f t="shared" si="146"/>
        <v>0</v>
      </c>
      <c r="Q571" s="22" t="str">
        <f t="shared" si="148"/>
        <v>00</v>
      </c>
      <c r="R571" s="22">
        <f t="shared" si="147"/>
        <v>0</v>
      </c>
      <c r="S571" s="22" t="str">
        <f t="shared" si="149"/>
        <v>00</v>
      </c>
      <c r="T571" s="22">
        <f t="shared" si="152"/>
        <v>1900</v>
      </c>
      <c r="U571" s="22">
        <f t="shared" si="152"/>
        <v>1900</v>
      </c>
      <c r="W571" s="22" t="str">
        <f t="shared" si="150"/>
        <v>190000</v>
      </c>
      <c r="X571" s="22" t="str">
        <f t="shared" si="151"/>
        <v>190000</v>
      </c>
    </row>
    <row r="572" spans="2:24">
      <c r="B572" s="22"/>
      <c r="C572" s="22"/>
      <c r="D572" s="77"/>
      <c r="E572" s="54"/>
      <c r="F572" s="77"/>
      <c r="G572" s="77"/>
      <c r="H572" s="78"/>
      <c r="I572" s="54"/>
      <c r="J572" s="39"/>
      <c r="K572" s="54"/>
      <c r="P572" s="22">
        <f t="shared" si="146"/>
        <v>0</v>
      </c>
      <c r="Q572" s="22" t="str">
        <f t="shared" si="148"/>
        <v>00</v>
      </c>
      <c r="R572" s="22">
        <f t="shared" si="147"/>
        <v>0</v>
      </c>
      <c r="S572" s="22" t="str">
        <f t="shared" si="149"/>
        <v>00</v>
      </c>
      <c r="T572" s="22">
        <f t="shared" si="152"/>
        <v>1900</v>
      </c>
      <c r="U572" s="22">
        <f t="shared" si="152"/>
        <v>1900</v>
      </c>
      <c r="W572" s="22" t="str">
        <f t="shared" si="150"/>
        <v>190000</v>
      </c>
      <c r="X572" s="22" t="str">
        <f t="shared" si="151"/>
        <v>190000</v>
      </c>
    </row>
    <row r="573" spans="2:24">
      <c r="B573" s="22"/>
      <c r="C573" s="22"/>
      <c r="D573" s="77"/>
      <c r="E573" s="54"/>
      <c r="F573" s="77"/>
      <c r="G573" s="77"/>
      <c r="H573" s="78"/>
      <c r="I573" s="54"/>
      <c r="J573" s="39"/>
      <c r="K573" s="54"/>
      <c r="P573" s="22">
        <f t="shared" si="146"/>
        <v>0</v>
      </c>
      <c r="Q573" s="22" t="str">
        <f t="shared" si="148"/>
        <v>00</v>
      </c>
      <c r="R573" s="22">
        <f t="shared" si="147"/>
        <v>0</v>
      </c>
      <c r="S573" s="22" t="str">
        <f t="shared" si="149"/>
        <v>00</v>
      </c>
      <c r="T573" s="22">
        <f t="shared" si="152"/>
        <v>1900</v>
      </c>
      <c r="U573" s="22">
        <f t="shared" si="152"/>
        <v>1900</v>
      </c>
      <c r="W573" s="22" t="str">
        <f t="shared" si="150"/>
        <v>190000</v>
      </c>
      <c r="X573" s="22" t="str">
        <f t="shared" si="151"/>
        <v>190000</v>
      </c>
    </row>
    <row r="574" spans="2:24">
      <c r="B574" s="22"/>
      <c r="C574" s="22"/>
      <c r="D574" s="77"/>
      <c r="E574" s="54"/>
      <c r="F574" s="77"/>
      <c r="G574" s="77"/>
      <c r="H574" s="78"/>
      <c r="I574" s="54"/>
      <c r="J574" s="39"/>
      <c r="K574" s="54"/>
      <c r="P574" s="22">
        <f t="shared" si="146"/>
        <v>0</v>
      </c>
      <c r="Q574" s="22" t="str">
        <f t="shared" si="148"/>
        <v>00</v>
      </c>
      <c r="R574" s="22">
        <f t="shared" si="147"/>
        <v>0</v>
      </c>
      <c r="S574" s="22" t="str">
        <f t="shared" si="149"/>
        <v>00</v>
      </c>
      <c r="T574" s="22">
        <f t="shared" si="152"/>
        <v>1900</v>
      </c>
      <c r="U574" s="22">
        <f t="shared" si="152"/>
        <v>1900</v>
      </c>
      <c r="W574" s="22" t="str">
        <f t="shared" si="150"/>
        <v>190000</v>
      </c>
      <c r="X574" s="22" t="str">
        <f t="shared" si="151"/>
        <v>190000</v>
      </c>
    </row>
    <row r="575" spans="2:24">
      <c r="B575" s="22"/>
      <c r="C575" s="22"/>
      <c r="D575" s="77"/>
      <c r="E575" s="54"/>
      <c r="F575" s="77"/>
      <c r="G575" s="77"/>
      <c r="H575" s="78"/>
      <c r="I575" s="54"/>
      <c r="J575" s="39"/>
      <c r="K575" s="54"/>
      <c r="P575" s="22">
        <f t="shared" si="146"/>
        <v>0</v>
      </c>
      <c r="Q575" s="22" t="str">
        <f t="shared" si="148"/>
        <v>00</v>
      </c>
      <c r="R575" s="22">
        <f t="shared" si="147"/>
        <v>0</v>
      </c>
      <c r="S575" s="22" t="str">
        <f t="shared" si="149"/>
        <v>00</v>
      </c>
      <c r="T575" s="22">
        <f t="shared" si="152"/>
        <v>1900</v>
      </c>
      <c r="U575" s="22">
        <f t="shared" si="152"/>
        <v>1900</v>
      </c>
      <c r="W575" s="22" t="str">
        <f t="shared" si="150"/>
        <v>190000</v>
      </c>
      <c r="X575" s="22" t="str">
        <f t="shared" si="151"/>
        <v>190000</v>
      </c>
    </row>
    <row r="576" spans="2:24">
      <c r="B576" s="22"/>
      <c r="C576" s="22"/>
      <c r="D576" s="77"/>
      <c r="E576" s="54"/>
      <c r="F576" s="77"/>
      <c r="G576" s="77"/>
      <c r="H576" s="78"/>
      <c r="I576" s="54"/>
      <c r="J576" s="39"/>
      <c r="K576" s="54"/>
      <c r="P576" s="22">
        <f t="shared" ref="P576:P639" si="153">WEEKNUM(F576,2)-1</f>
        <v>0</v>
      </c>
      <c r="Q576" s="22" t="str">
        <f t="shared" si="148"/>
        <v>00</v>
      </c>
      <c r="R576" s="22">
        <f t="shared" ref="R576:R639" si="154">WEEKNUM(G576,2)-1</f>
        <v>0</v>
      </c>
      <c r="S576" s="22" t="str">
        <f t="shared" si="149"/>
        <v>00</v>
      </c>
      <c r="T576" s="22">
        <f t="shared" si="152"/>
        <v>1900</v>
      </c>
      <c r="U576" s="22">
        <f t="shared" si="152"/>
        <v>1900</v>
      </c>
      <c r="W576" s="22" t="str">
        <f t="shared" si="150"/>
        <v>190000</v>
      </c>
      <c r="X576" s="22" t="str">
        <f t="shared" si="151"/>
        <v>190000</v>
      </c>
    </row>
    <row r="577" spans="2:24">
      <c r="B577" s="22"/>
      <c r="C577" s="22"/>
      <c r="D577" s="77"/>
      <c r="E577" s="54"/>
      <c r="F577" s="77"/>
      <c r="G577" s="77"/>
      <c r="H577" s="78"/>
      <c r="I577" s="54"/>
      <c r="J577" s="39"/>
      <c r="K577" s="54"/>
      <c r="P577" s="22">
        <f t="shared" si="153"/>
        <v>0</v>
      </c>
      <c r="Q577" s="22" t="str">
        <f t="shared" si="148"/>
        <v>00</v>
      </c>
      <c r="R577" s="22">
        <f t="shared" si="154"/>
        <v>0</v>
      </c>
      <c r="S577" s="22" t="str">
        <f t="shared" si="149"/>
        <v>00</v>
      </c>
      <c r="T577" s="22">
        <f t="shared" si="152"/>
        <v>1900</v>
      </c>
      <c r="U577" s="22">
        <f t="shared" si="152"/>
        <v>1900</v>
      </c>
      <c r="W577" s="22" t="str">
        <f t="shared" si="150"/>
        <v>190000</v>
      </c>
      <c r="X577" s="22" t="str">
        <f t="shared" si="151"/>
        <v>190000</v>
      </c>
    </row>
    <row r="578" spans="2:24">
      <c r="B578" s="22"/>
      <c r="C578" s="22"/>
      <c r="D578" s="77"/>
      <c r="E578" s="54"/>
      <c r="F578" s="77"/>
      <c r="G578" s="77"/>
      <c r="H578" s="78"/>
      <c r="I578" s="54"/>
      <c r="J578" s="39"/>
      <c r="K578" s="54"/>
      <c r="P578" s="22">
        <f t="shared" si="153"/>
        <v>0</v>
      </c>
      <c r="Q578" s="22" t="str">
        <f t="shared" si="148"/>
        <v>00</v>
      </c>
      <c r="R578" s="22">
        <f t="shared" si="154"/>
        <v>0</v>
      </c>
      <c r="S578" s="22" t="str">
        <f t="shared" si="149"/>
        <v>00</v>
      </c>
      <c r="T578" s="22">
        <f t="shared" si="152"/>
        <v>1900</v>
      </c>
      <c r="U578" s="22">
        <f t="shared" si="152"/>
        <v>1900</v>
      </c>
      <c r="W578" s="22" t="str">
        <f t="shared" si="150"/>
        <v>190000</v>
      </c>
      <c r="X578" s="22" t="str">
        <f t="shared" si="151"/>
        <v>190000</v>
      </c>
    </row>
    <row r="579" spans="2:24">
      <c r="B579" s="22"/>
      <c r="C579" s="22"/>
      <c r="D579" s="77"/>
      <c r="E579" s="54"/>
      <c r="F579" s="77"/>
      <c r="G579" s="77"/>
      <c r="H579" s="78"/>
      <c r="I579" s="54"/>
      <c r="J579" s="39"/>
      <c r="K579" s="54"/>
      <c r="P579" s="22">
        <f t="shared" si="153"/>
        <v>0</v>
      </c>
      <c r="Q579" s="22" t="str">
        <f t="shared" ref="Q579:Q642" si="155">TEXT(P579,"00")</f>
        <v>00</v>
      </c>
      <c r="R579" s="22">
        <f t="shared" si="154"/>
        <v>0</v>
      </c>
      <c r="S579" s="22" t="str">
        <f t="shared" ref="S579:S642" si="156">TEXT(R579,"00")</f>
        <v>00</v>
      </c>
      <c r="T579" s="22">
        <f t="shared" si="152"/>
        <v>1900</v>
      </c>
      <c r="U579" s="22">
        <f t="shared" si="152"/>
        <v>1900</v>
      </c>
      <c r="W579" s="22" t="str">
        <f t="shared" ref="W579:W642" si="157">T579&amp;Q579</f>
        <v>190000</v>
      </c>
      <c r="X579" s="22" t="str">
        <f t="shared" ref="X579:X642" si="158">U579&amp;S579</f>
        <v>190000</v>
      </c>
    </row>
    <row r="580" spans="2:24">
      <c r="B580" s="22"/>
      <c r="C580" s="22"/>
      <c r="D580" s="77"/>
      <c r="E580" s="54"/>
      <c r="F580" s="77"/>
      <c r="G580" s="77"/>
      <c r="H580" s="78"/>
      <c r="I580" s="54"/>
      <c r="J580" s="39"/>
      <c r="K580" s="54"/>
      <c r="P580" s="22">
        <f t="shared" si="153"/>
        <v>0</v>
      </c>
      <c r="Q580" s="22" t="str">
        <f t="shared" si="155"/>
        <v>00</v>
      </c>
      <c r="R580" s="22">
        <f t="shared" si="154"/>
        <v>0</v>
      </c>
      <c r="S580" s="22" t="str">
        <f t="shared" si="156"/>
        <v>00</v>
      </c>
      <c r="T580" s="22">
        <f t="shared" si="152"/>
        <v>1900</v>
      </c>
      <c r="U580" s="22">
        <f t="shared" si="152"/>
        <v>1900</v>
      </c>
      <c r="W580" s="22" t="str">
        <f t="shared" si="157"/>
        <v>190000</v>
      </c>
      <c r="X580" s="22" t="str">
        <f t="shared" si="158"/>
        <v>190000</v>
      </c>
    </row>
    <row r="581" spans="2:24">
      <c r="B581" s="22"/>
      <c r="C581" s="22"/>
      <c r="D581" s="77"/>
      <c r="E581" s="54"/>
      <c r="F581" s="77"/>
      <c r="G581" s="77"/>
      <c r="H581" s="78"/>
      <c r="I581" s="54"/>
      <c r="J581" s="39"/>
      <c r="K581" s="54"/>
      <c r="P581" s="22">
        <f t="shared" si="153"/>
        <v>0</v>
      </c>
      <c r="Q581" s="22" t="str">
        <f t="shared" si="155"/>
        <v>00</v>
      </c>
      <c r="R581" s="22">
        <f t="shared" si="154"/>
        <v>0</v>
      </c>
      <c r="S581" s="22" t="str">
        <f t="shared" si="156"/>
        <v>00</v>
      </c>
      <c r="T581" s="22">
        <f t="shared" si="152"/>
        <v>1900</v>
      </c>
      <c r="U581" s="22">
        <f t="shared" si="152"/>
        <v>1900</v>
      </c>
      <c r="W581" s="22" t="str">
        <f t="shared" si="157"/>
        <v>190000</v>
      </c>
      <c r="X581" s="22" t="str">
        <f t="shared" si="158"/>
        <v>190000</v>
      </c>
    </row>
    <row r="582" spans="2:24">
      <c r="B582" s="22"/>
      <c r="C582" s="22"/>
      <c r="D582" s="77"/>
      <c r="E582" s="54"/>
      <c r="F582" s="77"/>
      <c r="G582" s="77"/>
      <c r="H582" s="78"/>
      <c r="I582" s="54"/>
      <c r="J582" s="39"/>
      <c r="K582" s="54"/>
      <c r="P582" s="22">
        <f t="shared" si="153"/>
        <v>0</v>
      </c>
      <c r="Q582" s="22" t="str">
        <f t="shared" si="155"/>
        <v>00</v>
      </c>
      <c r="R582" s="22">
        <f t="shared" si="154"/>
        <v>0</v>
      </c>
      <c r="S582" s="22" t="str">
        <f t="shared" si="156"/>
        <v>00</v>
      </c>
      <c r="T582" s="22">
        <f t="shared" si="152"/>
        <v>1900</v>
      </c>
      <c r="U582" s="22">
        <f t="shared" si="152"/>
        <v>1900</v>
      </c>
      <c r="W582" s="22" t="str">
        <f t="shared" si="157"/>
        <v>190000</v>
      </c>
      <c r="X582" s="22" t="str">
        <f t="shared" si="158"/>
        <v>190000</v>
      </c>
    </row>
    <row r="583" spans="2:24">
      <c r="B583" s="22"/>
      <c r="C583" s="22"/>
      <c r="D583" s="77"/>
      <c r="E583" s="54"/>
      <c r="F583" s="77"/>
      <c r="G583" s="77"/>
      <c r="H583" s="78"/>
      <c r="I583" s="54"/>
      <c r="J583" s="39"/>
      <c r="K583" s="54"/>
      <c r="P583" s="22">
        <f t="shared" si="153"/>
        <v>0</v>
      </c>
      <c r="Q583" s="22" t="str">
        <f t="shared" si="155"/>
        <v>00</v>
      </c>
      <c r="R583" s="22">
        <f t="shared" si="154"/>
        <v>0</v>
      </c>
      <c r="S583" s="22" t="str">
        <f t="shared" si="156"/>
        <v>00</v>
      </c>
      <c r="T583" s="22">
        <f t="shared" si="152"/>
        <v>1900</v>
      </c>
      <c r="U583" s="22">
        <f t="shared" si="152"/>
        <v>1900</v>
      </c>
      <c r="W583" s="22" t="str">
        <f t="shared" si="157"/>
        <v>190000</v>
      </c>
      <c r="X583" s="22" t="str">
        <f t="shared" si="158"/>
        <v>190000</v>
      </c>
    </row>
    <row r="584" spans="2:24">
      <c r="B584" s="22"/>
      <c r="C584" s="22"/>
      <c r="E584" s="54"/>
      <c r="F584" s="77"/>
      <c r="G584" s="77"/>
      <c r="H584" s="78"/>
      <c r="I584" s="54"/>
      <c r="J584" s="39"/>
      <c r="K584" s="54"/>
      <c r="P584" s="22">
        <f t="shared" si="153"/>
        <v>0</v>
      </c>
      <c r="Q584" s="22" t="str">
        <f t="shared" si="155"/>
        <v>00</v>
      </c>
      <c r="R584" s="22">
        <f t="shared" si="154"/>
        <v>0</v>
      </c>
      <c r="S584" s="22" t="str">
        <f t="shared" si="156"/>
        <v>00</v>
      </c>
      <c r="T584" s="22">
        <f t="shared" si="152"/>
        <v>1900</v>
      </c>
      <c r="U584" s="22">
        <f t="shared" si="152"/>
        <v>1900</v>
      </c>
      <c r="W584" s="22" t="str">
        <f t="shared" si="157"/>
        <v>190000</v>
      </c>
      <c r="X584" s="22" t="str">
        <f t="shared" si="158"/>
        <v>190000</v>
      </c>
    </row>
    <row r="585" spans="2:24">
      <c r="B585" s="22"/>
      <c r="C585" s="22"/>
      <c r="E585" s="54"/>
      <c r="F585" s="77"/>
      <c r="G585" s="77"/>
      <c r="H585" s="78"/>
      <c r="I585" s="54"/>
      <c r="J585" s="39"/>
      <c r="K585" s="54"/>
      <c r="P585" s="22">
        <f t="shared" si="153"/>
        <v>0</v>
      </c>
      <c r="Q585" s="22" t="str">
        <f t="shared" si="155"/>
        <v>00</v>
      </c>
      <c r="R585" s="22">
        <f t="shared" si="154"/>
        <v>0</v>
      </c>
      <c r="S585" s="22" t="str">
        <f t="shared" si="156"/>
        <v>00</v>
      </c>
      <c r="T585" s="22">
        <f t="shared" si="152"/>
        <v>1900</v>
      </c>
      <c r="U585" s="22">
        <f t="shared" si="152"/>
        <v>1900</v>
      </c>
      <c r="W585" s="22" t="str">
        <f t="shared" si="157"/>
        <v>190000</v>
      </c>
      <c r="X585" s="22" t="str">
        <f t="shared" si="158"/>
        <v>190000</v>
      </c>
    </row>
    <row r="586" spans="2:24">
      <c r="B586" s="22"/>
      <c r="C586" s="22"/>
      <c r="E586" s="54"/>
      <c r="F586" s="77"/>
      <c r="G586" s="77"/>
      <c r="H586" s="78"/>
      <c r="I586" s="54"/>
      <c r="J586" s="39"/>
      <c r="K586" s="54"/>
      <c r="P586" s="22">
        <f t="shared" si="153"/>
        <v>0</v>
      </c>
      <c r="Q586" s="22" t="str">
        <f t="shared" si="155"/>
        <v>00</v>
      </c>
      <c r="R586" s="22">
        <f t="shared" si="154"/>
        <v>0</v>
      </c>
      <c r="S586" s="22" t="str">
        <f t="shared" si="156"/>
        <v>00</v>
      </c>
      <c r="T586" s="22">
        <f t="shared" si="152"/>
        <v>1900</v>
      </c>
      <c r="U586" s="22">
        <f t="shared" si="152"/>
        <v>1900</v>
      </c>
      <c r="W586" s="22" t="str">
        <f t="shared" si="157"/>
        <v>190000</v>
      </c>
      <c r="X586" s="22" t="str">
        <f t="shared" si="158"/>
        <v>190000</v>
      </c>
    </row>
    <row r="587" spans="2:24">
      <c r="B587" s="22"/>
      <c r="C587" s="22"/>
      <c r="E587" s="54"/>
      <c r="F587" s="77"/>
      <c r="G587" s="77"/>
      <c r="H587" s="78"/>
      <c r="I587" s="54"/>
      <c r="J587" s="39"/>
      <c r="K587" s="54"/>
      <c r="P587" s="22">
        <f t="shared" si="153"/>
        <v>0</v>
      </c>
      <c r="Q587" s="22" t="str">
        <f t="shared" si="155"/>
        <v>00</v>
      </c>
      <c r="R587" s="22">
        <f t="shared" si="154"/>
        <v>0</v>
      </c>
      <c r="S587" s="22" t="str">
        <f t="shared" si="156"/>
        <v>00</v>
      </c>
      <c r="T587" s="22">
        <f t="shared" si="152"/>
        <v>1900</v>
      </c>
      <c r="U587" s="22">
        <f t="shared" si="152"/>
        <v>1900</v>
      </c>
      <c r="W587" s="22" t="str">
        <f t="shared" si="157"/>
        <v>190000</v>
      </c>
      <c r="X587" s="22" t="str">
        <f t="shared" si="158"/>
        <v>190000</v>
      </c>
    </row>
    <row r="588" spans="2:24">
      <c r="B588" s="22"/>
      <c r="C588" s="22"/>
      <c r="E588" s="54"/>
      <c r="F588" s="77"/>
      <c r="G588" s="77"/>
      <c r="H588" s="78"/>
      <c r="I588" s="54"/>
      <c r="J588" s="39"/>
      <c r="K588" s="54"/>
      <c r="P588" s="22">
        <f t="shared" si="153"/>
        <v>0</v>
      </c>
      <c r="Q588" s="22" t="str">
        <f t="shared" si="155"/>
        <v>00</v>
      </c>
      <c r="R588" s="22">
        <f t="shared" si="154"/>
        <v>0</v>
      </c>
      <c r="S588" s="22" t="str">
        <f t="shared" si="156"/>
        <v>00</v>
      </c>
      <c r="T588" s="22">
        <f t="shared" si="152"/>
        <v>1900</v>
      </c>
      <c r="U588" s="22">
        <f t="shared" si="152"/>
        <v>1900</v>
      </c>
      <c r="W588" s="22" t="str">
        <f t="shared" si="157"/>
        <v>190000</v>
      </c>
      <c r="X588" s="22" t="str">
        <f t="shared" si="158"/>
        <v>190000</v>
      </c>
    </row>
    <row r="589" spans="2:24">
      <c r="B589" s="22"/>
      <c r="C589" s="22"/>
      <c r="E589" s="54"/>
      <c r="F589" s="77"/>
      <c r="G589" s="77"/>
      <c r="H589" s="78"/>
      <c r="I589" s="54"/>
      <c r="J589" s="39"/>
      <c r="K589" s="54"/>
      <c r="P589" s="22">
        <f t="shared" si="153"/>
        <v>0</v>
      </c>
      <c r="Q589" s="22" t="str">
        <f t="shared" si="155"/>
        <v>00</v>
      </c>
      <c r="R589" s="22">
        <f t="shared" si="154"/>
        <v>0</v>
      </c>
      <c r="S589" s="22" t="str">
        <f t="shared" si="156"/>
        <v>00</v>
      </c>
      <c r="T589" s="22">
        <f t="shared" si="152"/>
        <v>1900</v>
      </c>
      <c r="U589" s="22">
        <f t="shared" si="152"/>
        <v>1900</v>
      </c>
      <c r="W589" s="22" t="str">
        <f t="shared" si="157"/>
        <v>190000</v>
      </c>
      <c r="X589" s="22" t="str">
        <f t="shared" si="158"/>
        <v>190000</v>
      </c>
    </row>
    <row r="590" spans="2:24">
      <c r="B590" s="22"/>
      <c r="C590" s="22"/>
      <c r="E590" s="54"/>
      <c r="F590" s="77"/>
      <c r="G590" s="77"/>
      <c r="H590" s="78"/>
      <c r="I590" s="54"/>
      <c r="J590" s="39"/>
      <c r="K590" s="54"/>
      <c r="P590" s="22">
        <f t="shared" si="153"/>
        <v>0</v>
      </c>
      <c r="Q590" s="22" t="str">
        <f t="shared" si="155"/>
        <v>00</v>
      </c>
      <c r="R590" s="22">
        <f t="shared" si="154"/>
        <v>0</v>
      </c>
      <c r="S590" s="22" t="str">
        <f t="shared" si="156"/>
        <v>00</v>
      </c>
      <c r="T590" s="22">
        <f t="shared" si="152"/>
        <v>1900</v>
      </c>
      <c r="U590" s="22">
        <f t="shared" si="152"/>
        <v>1900</v>
      </c>
      <c r="W590" s="22" t="str">
        <f t="shared" si="157"/>
        <v>190000</v>
      </c>
      <c r="X590" s="22" t="str">
        <f t="shared" si="158"/>
        <v>190000</v>
      </c>
    </row>
    <row r="591" spans="2:24">
      <c r="B591" s="22"/>
      <c r="C591" s="22"/>
      <c r="E591" s="54"/>
      <c r="F591" s="77"/>
      <c r="G591" s="77"/>
      <c r="H591" s="78"/>
      <c r="I591" s="54"/>
      <c r="J591" s="39"/>
      <c r="K591" s="54"/>
      <c r="P591" s="22">
        <f t="shared" si="153"/>
        <v>0</v>
      </c>
      <c r="Q591" s="22" t="str">
        <f t="shared" si="155"/>
        <v>00</v>
      </c>
      <c r="R591" s="22">
        <f t="shared" si="154"/>
        <v>0</v>
      </c>
      <c r="S591" s="22" t="str">
        <f t="shared" si="156"/>
        <v>00</v>
      </c>
      <c r="T591" s="22">
        <f t="shared" si="152"/>
        <v>1900</v>
      </c>
      <c r="U591" s="22">
        <f t="shared" si="152"/>
        <v>1900</v>
      </c>
      <c r="W591" s="22" t="str">
        <f t="shared" si="157"/>
        <v>190000</v>
      </c>
      <c r="X591" s="22" t="str">
        <f t="shared" si="158"/>
        <v>190000</v>
      </c>
    </row>
    <row r="592" spans="2:24">
      <c r="B592" s="22"/>
      <c r="C592" s="22"/>
      <c r="E592" s="54"/>
      <c r="F592" s="77"/>
      <c r="G592" s="77"/>
      <c r="H592" s="78"/>
      <c r="I592" s="54"/>
      <c r="J592" s="39"/>
      <c r="K592" s="54"/>
      <c r="P592" s="22">
        <f t="shared" si="153"/>
        <v>0</v>
      </c>
      <c r="Q592" s="22" t="str">
        <f t="shared" si="155"/>
        <v>00</v>
      </c>
      <c r="R592" s="22">
        <f t="shared" si="154"/>
        <v>0</v>
      </c>
      <c r="S592" s="22" t="str">
        <f t="shared" si="156"/>
        <v>00</v>
      </c>
      <c r="T592" s="22">
        <f t="shared" si="152"/>
        <v>1900</v>
      </c>
      <c r="U592" s="22">
        <f t="shared" si="152"/>
        <v>1900</v>
      </c>
      <c r="W592" s="22" t="str">
        <f t="shared" si="157"/>
        <v>190000</v>
      </c>
      <c r="X592" s="22" t="str">
        <f t="shared" si="158"/>
        <v>190000</v>
      </c>
    </row>
    <row r="593" spans="2:24">
      <c r="B593" s="22"/>
      <c r="C593" s="22"/>
      <c r="E593" s="54"/>
      <c r="F593" s="77"/>
      <c r="G593" s="77"/>
      <c r="H593" s="78"/>
      <c r="I593" s="54"/>
      <c r="J593" s="39"/>
      <c r="K593" s="54"/>
      <c r="P593" s="22">
        <f t="shared" si="153"/>
        <v>0</v>
      </c>
      <c r="Q593" s="22" t="str">
        <f t="shared" si="155"/>
        <v>00</v>
      </c>
      <c r="R593" s="22">
        <f t="shared" si="154"/>
        <v>0</v>
      </c>
      <c r="S593" s="22" t="str">
        <f t="shared" si="156"/>
        <v>00</v>
      </c>
      <c r="T593" s="22">
        <f t="shared" si="152"/>
        <v>1900</v>
      </c>
      <c r="U593" s="22">
        <f t="shared" si="152"/>
        <v>1900</v>
      </c>
      <c r="W593" s="22" t="str">
        <f t="shared" si="157"/>
        <v>190000</v>
      </c>
      <c r="X593" s="22" t="str">
        <f t="shared" si="158"/>
        <v>190000</v>
      </c>
    </row>
    <row r="594" spans="2:24">
      <c r="B594" s="22"/>
      <c r="C594" s="22"/>
      <c r="E594" s="54"/>
      <c r="F594" s="77"/>
      <c r="G594" s="77"/>
      <c r="H594" s="78"/>
      <c r="I594" s="54"/>
      <c r="J594" s="39"/>
      <c r="K594" s="54"/>
      <c r="P594" s="22">
        <f t="shared" si="153"/>
        <v>0</v>
      </c>
      <c r="Q594" s="22" t="str">
        <f t="shared" si="155"/>
        <v>00</v>
      </c>
      <c r="R594" s="22">
        <f t="shared" si="154"/>
        <v>0</v>
      </c>
      <c r="S594" s="22" t="str">
        <f t="shared" si="156"/>
        <v>00</v>
      </c>
      <c r="T594" s="22">
        <f t="shared" si="152"/>
        <v>1900</v>
      </c>
      <c r="U594" s="22">
        <f t="shared" si="152"/>
        <v>1900</v>
      </c>
      <c r="W594" s="22" t="str">
        <f t="shared" si="157"/>
        <v>190000</v>
      </c>
      <c r="X594" s="22" t="str">
        <f t="shared" si="158"/>
        <v>190000</v>
      </c>
    </row>
    <row r="595" spans="2:24">
      <c r="B595" s="22"/>
      <c r="C595" s="22"/>
      <c r="E595" s="54"/>
      <c r="F595" s="77"/>
      <c r="G595" s="77"/>
      <c r="H595" s="78"/>
      <c r="I595" s="54"/>
      <c r="J595" s="39"/>
      <c r="K595" s="54"/>
      <c r="P595" s="22">
        <f t="shared" si="153"/>
        <v>0</v>
      </c>
      <c r="Q595" s="22" t="str">
        <f t="shared" si="155"/>
        <v>00</v>
      </c>
      <c r="R595" s="22">
        <f t="shared" si="154"/>
        <v>0</v>
      </c>
      <c r="S595" s="22" t="str">
        <f t="shared" si="156"/>
        <v>00</v>
      </c>
      <c r="T595" s="22">
        <f t="shared" si="152"/>
        <v>1900</v>
      </c>
      <c r="U595" s="22">
        <f t="shared" si="152"/>
        <v>1900</v>
      </c>
      <c r="W595" s="22" t="str">
        <f t="shared" si="157"/>
        <v>190000</v>
      </c>
      <c r="X595" s="22" t="str">
        <f t="shared" si="158"/>
        <v>190000</v>
      </c>
    </row>
    <row r="596" spans="2:24">
      <c r="B596" s="22"/>
      <c r="C596" s="22"/>
      <c r="E596" s="54"/>
      <c r="F596" s="77"/>
      <c r="G596" s="77"/>
      <c r="H596" s="78"/>
      <c r="I596" s="54"/>
      <c r="J596" s="39"/>
      <c r="K596" s="54"/>
      <c r="P596" s="22">
        <f t="shared" si="153"/>
        <v>0</v>
      </c>
      <c r="Q596" s="22" t="str">
        <f t="shared" si="155"/>
        <v>00</v>
      </c>
      <c r="R596" s="22">
        <f t="shared" si="154"/>
        <v>0</v>
      </c>
      <c r="S596" s="22" t="str">
        <f t="shared" si="156"/>
        <v>00</v>
      </c>
      <c r="T596" s="22">
        <f t="shared" ref="T596:U659" si="159">YEAR(F596)</f>
        <v>1900</v>
      </c>
      <c r="U596" s="22">
        <f t="shared" si="159"/>
        <v>1900</v>
      </c>
      <c r="W596" s="22" t="str">
        <f t="shared" si="157"/>
        <v>190000</v>
      </c>
      <c r="X596" s="22" t="str">
        <f t="shared" si="158"/>
        <v>190000</v>
      </c>
    </row>
    <row r="597" spans="2:24">
      <c r="B597" s="22"/>
      <c r="C597" s="22"/>
      <c r="E597" s="54"/>
      <c r="F597" s="77"/>
      <c r="G597" s="77"/>
      <c r="H597" s="78"/>
      <c r="I597" s="54"/>
      <c r="J597" s="39"/>
      <c r="K597" s="54"/>
      <c r="P597" s="22">
        <f t="shared" si="153"/>
        <v>0</v>
      </c>
      <c r="Q597" s="22" t="str">
        <f t="shared" si="155"/>
        <v>00</v>
      </c>
      <c r="R597" s="22">
        <f t="shared" si="154"/>
        <v>0</v>
      </c>
      <c r="S597" s="22" t="str">
        <f t="shared" si="156"/>
        <v>00</v>
      </c>
      <c r="T597" s="22">
        <f t="shared" si="159"/>
        <v>1900</v>
      </c>
      <c r="U597" s="22">
        <f t="shared" si="159"/>
        <v>1900</v>
      </c>
      <c r="W597" s="22" t="str">
        <f t="shared" si="157"/>
        <v>190000</v>
      </c>
      <c r="X597" s="22" t="str">
        <f t="shared" si="158"/>
        <v>190000</v>
      </c>
    </row>
    <row r="598" spans="2:24">
      <c r="B598" s="22"/>
      <c r="C598" s="22"/>
      <c r="E598" s="54"/>
      <c r="F598" s="77"/>
      <c r="G598" s="77"/>
      <c r="H598" s="78"/>
      <c r="I598" s="54"/>
      <c r="J598" s="39"/>
      <c r="K598" s="54"/>
      <c r="P598" s="22">
        <f t="shared" si="153"/>
        <v>0</v>
      </c>
      <c r="Q598" s="22" t="str">
        <f t="shared" si="155"/>
        <v>00</v>
      </c>
      <c r="R598" s="22">
        <f t="shared" si="154"/>
        <v>0</v>
      </c>
      <c r="S598" s="22" t="str">
        <f t="shared" si="156"/>
        <v>00</v>
      </c>
      <c r="T598" s="22">
        <f t="shared" si="159"/>
        <v>1900</v>
      </c>
      <c r="U598" s="22">
        <f t="shared" si="159"/>
        <v>1900</v>
      </c>
      <c r="W598" s="22" t="str">
        <f t="shared" si="157"/>
        <v>190000</v>
      </c>
      <c r="X598" s="22" t="str">
        <f t="shared" si="158"/>
        <v>190000</v>
      </c>
    </row>
    <row r="599" spans="2:24">
      <c r="B599" s="22"/>
      <c r="C599" s="22"/>
      <c r="E599" s="54"/>
      <c r="F599" s="77"/>
      <c r="G599" s="77"/>
      <c r="H599" s="78"/>
      <c r="I599" s="54"/>
      <c r="J599" s="39"/>
      <c r="K599" s="54"/>
      <c r="P599" s="22">
        <f t="shared" si="153"/>
        <v>0</v>
      </c>
      <c r="Q599" s="22" t="str">
        <f t="shared" si="155"/>
        <v>00</v>
      </c>
      <c r="R599" s="22">
        <f t="shared" si="154"/>
        <v>0</v>
      </c>
      <c r="S599" s="22" t="str">
        <f t="shared" si="156"/>
        <v>00</v>
      </c>
      <c r="T599" s="22">
        <f t="shared" si="159"/>
        <v>1900</v>
      </c>
      <c r="U599" s="22">
        <f t="shared" si="159"/>
        <v>1900</v>
      </c>
      <c r="W599" s="22" t="str">
        <f t="shared" si="157"/>
        <v>190000</v>
      </c>
      <c r="X599" s="22" t="str">
        <f t="shared" si="158"/>
        <v>190000</v>
      </c>
    </row>
    <row r="600" spans="2:24">
      <c r="B600" s="22"/>
      <c r="C600" s="22"/>
      <c r="E600" s="54"/>
      <c r="F600" s="77"/>
      <c r="G600" s="77"/>
      <c r="H600" s="78"/>
      <c r="I600" s="54"/>
      <c r="J600" s="39"/>
      <c r="K600" s="54"/>
      <c r="P600" s="22">
        <f t="shared" si="153"/>
        <v>0</v>
      </c>
      <c r="Q600" s="22" t="str">
        <f t="shared" si="155"/>
        <v>00</v>
      </c>
      <c r="R600" s="22">
        <f t="shared" si="154"/>
        <v>0</v>
      </c>
      <c r="S600" s="22" t="str">
        <f t="shared" si="156"/>
        <v>00</v>
      </c>
      <c r="T600" s="22">
        <f t="shared" si="159"/>
        <v>1900</v>
      </c>
      <c r="U600" s="22">
        <f t="shared" si="159"/>
        <v>1900</v>
      </c>
      <c r="W600" s="22" t="str">
        <f t="shared" si="157"/>
        <v>190000</v>
      </c>
      <c r="X600" s="22" t="str">
        <f t="shared" si="158"/>
        <v>190000</v>
      </c>
    </row>
    <row r="601" spans="2:24">
      <c r="B601" s="22"/>
      <c r="C601" s="22"/>
      <c r="E601" s="54"/>
      <c r="F601" s="77"/>
      <c r="G601" s="77"/>
      <c r="H601" s="78"/>
      <c r="I601" s="54"/>
      <c r="J601" s="39"/>
      <c r="K601" s="54"/>
      <c r="P601" s="22">
        <f t="shared" si="153"/>
        <v>0</v>
      </c>
      <c r="Q601" s="22" t="str">
        <f t="shared" si="155"/>
        <v>00</v>
      </c>
      <c r="R601" s="22">
        <f t="shared" si="154"/>
        <v>0</v>
      </c>
      <c r="S601" s="22" t="str">
        <f t="shared" si="156"/>
        <v>00</v>
      </c>
      <c r="T601" s="22">
        <f t="shared" si="159"/>
        <v>1900</v>
      </c>
      <c r="U601" s="22">
        <f t="shared" si="159"/>
        <v>1900</v>
      </c>
      <c r="W601" s="22" t="str">
        <f t="shared" si="157"/>
        <v>190000</v>
      </c>
      <c r="X601" s="22" t="str">
        <f t="shared" si="158"/>
        <v>190000</v>
      </c>
    </row>
    <row r="602" spans="2:24">
      <c r="B602" s="22"/>
      <c r="C602" s="22"/>
      <c r="E602" s="54"/>
      <c r="F602" s="77"/>
      <c r="G602" s="77"/>
      <c r="H602" s="78"/>
      <c r="I602" s="54"/>
      <c r="J602" s="39"/>
      <c r="K602" s="54"/>
      <c r="P602" s="22">
        <f t="shared" si="153"/>
        <v>0</v>
      </c>
      <c r="Q602" s="22" t="str">
        <f t="shared" si="155"/>
        <v>00</v>
      </c>
      <c r="R602" s="22">
        <f t="shared" si="154"/>
        <v>0</v>
      </c>
      <c r="S602" s="22" t="str">
        <f t="shared" si="156"/>
        <v>00</v>
      </c>
      <c r="T602" s="22">
        <f t="shared" si="159"/>
        <v>1900</v>
      </c>
      <c r="U602" s="22">
        <f t="shared" si="159"/>
        <v>1900</v>
      </c>
      <c r="W602" s="22" t="str">
        <f t="shared" si="157"/>
        <v>190000</v>
      </c>
      <c r="X602" s="22" t="str">
        <f t="shared" si="158"/>
        <v>190000</v>
      </c>
    </row>
    <row r="603" spans="2:24">
      <c r="B603" s="22"/>
      <c r="C603" s="22"/>
      <c r="E603" s="54"/>
      <c r="F603" s="77"/>
      <c r="G603" s="77"/>
      <c r="H603" s="78"/>
      <c r="I603" s="54"/>
      <c r="J603" s="39"/>
      <c r="K603" s="54"/>
      <c r="P603" s="22">
        <f t="shared" si="153"/>
        <v>0</v>
      </c>
      <c r="Q603" s="22" t="str">
        <f t="shared" si="155"/>
        <v>00</v>
      </c>
      <c r="R603" s="22">
        <f t="shared" si="154"/>
        <v>0</v>
      </c>
      <c r="S603" s="22" t="str">
        <f t="shared" si="156"/>
        <v>00</v>
      </c>
      <c r="T603" s="22">
        <f t="shared" si="159"/>
        <v>1900</v>
      </c>
      <c r="U603" s="22">
        <f t="shared" si="159"/>
        <v>1900</v>
      </c>
      <c r="W603" s="22" t="str">
        <f t="shared" si="157"/>
        <v>190000</v>
      </c>
      <c r="X603" s="22" t="str">
        <f t="shared" si="158"/>
        <v>190000</v>
      </c>
    </row>
    <row r="604" spans="2:24">
      <c r="B604" s="22"/>
      <c r="C604" s="22"/>
      <c r="E604" s="54"/>
      <c r="F604" s="77"/>
      <c r="G604" s="77"/>
      <c r="H604" s="78"/>
      <c r="I604" s="54"/>
      <c r="J604" s="39"/>
      <c r="K604" s="54"/>
      <c r="P604" s="22">
        <f t="shared" si="153"/>
        <v>0</v>
      </c>
      <c r="Q604" s="22" t="str">
        <f t="shared" si="155"/>
        <v>00</v>
      </c>
      <c r="R604" s="22">
        <f t="shared" si="154"/>
        <v>0</v>
      </c>
      <c r="S604" s="22" t="str">
        <f t="shared" si="156"/>
        <v>00</v>
      </c>
      <c r="T604" s="22">
        <f t="shared" si="159"/>
        <v>1900</v>
      </c>
      <c r="U604" s="22">
        <f t="shared" si="159"/>
        <v>1900</v>
      </c>
      <c r="W604" s="22" t="str">
        <f t="shared" si="157"/>
        <v>190000</v>
      </c>
      <c r="X604" s="22" t="str">
        <f t="shared" si="158"/>
        <v>190000</v>
      </c>
    </row>
    <row r="605" spans="2:24">
      <c r="B605" s="22"/>
      <c r="C605" s="22"/>
      <c r="E605" s="54"/>
      <c r="F605" s="77"/>
      <c r="G605" s="77"/>
      <c r="H605" s="78"/>
      <c r="I605" s="54"/>
      <c r="J605" s="39"/>
      <c r="K605" s="54"/>
      <c r="P605" s="22">
        <f t="shared" si="153"/>
        <v>0</v>
      </c>
      <c r="Q605" s="22" t="str">
        <f t="shared" si="155"/>
        <v>00</v>
      </c>
      <c r="R605" s="22">
        <f t="shared" si="154"/>
        <v>0</v>
      </c>
      <c r="S605" s="22" t="str">
        <f t="shared" si="156"/>
        <v>00</v>
      </c>
      <c r="T605" s="22">
        <f t="shared" si="159"/>
        <v>1900</v>
      </c>
      <c r="U605" s="22">
        <f t="shared" si="159"/>
        <v>1900</v>
      </c>
      <c r="W605" s="22" t="str">
        <f t="shared" si="157"/>
        <v>190000</v>
      </c>
      <c r="X605" s="22" t="str">
        <f t="shared" si="158"/>
        <v>190000</v>
      </c>
    </row>
    <row r="606" spans="2:24">
      <c r="B606" s="22"/>
      <c r="C606" s="22"/>
      <c r="E606" s="54"/>
      <c r="F606" s="77"/>
      <c r="G606" s="77"/>
      <c r="H606" s="78"/>
      <c r="I606" s="54"/>
      <c r="J606" s="39"/>
      <c r="K606" s="54"/>
      <c r="P606" s="22">
        <f t="shared" si="153"/>
        <v>0</v>
      </c>
      <c r="Q606" s="22" t="str">
        <f t="shared" si="155"/>
        <v>00</v>
      </c>
      <c r="R606" s="22">
        <f t="shared" si="154"/>
        <v>0</v>
      </c>
      <c r="S606" s="22" t="str">
        <f t="shared" si="156"/>
        <v>00</v>
      </c>
      <c r="T606" s="22">
        <f t="shared" si="159"/>
        <v>1900</v>
      </c>
      <c r="U606" s="22">
        <f t="shared" si="159"/>
        <v>1900</v>
      </c>
      <c r="W606" s="22" t="str">
        <f t="shared" si="157"/>
        <v>190000</v>
      </c>
      <c r="X606" s="22" t="str">
        <f t="shared" si="158"/>
        <v>190000</v>
      </c>
    </row>
    <row r="607" spans="2:24">
      <c r="B607" s="22"/>
      <c r="C607" s="22"/>
      <c r="E607" s="54"/>
      <c r="F607" s="77"/>
      <c r="G607" s="77"/>
      <c r="H607" s="78"/>
      <c r="I607" s="54"/>
      <c r="J607" s="39"/>
      <c r="K607" s="54"/>
      <c r="P607" s="22">
        <f t="shared" si="153"/>
        <v>0</v>
      </c>
      <c r="Q607" s="22" t="str">
        <f t="shared" si="155"/>
        <v>00</v>
      </c>
      <c r="R607" s="22">
        <f t="shared" si="154"/>
        <v>0</v>
      </c>
      <c r="S607" s="22" t="str">
        <f t="shared" si="156"/>
        <v>00</v>
      </c>
      <c r="T607" s="22">
        <f t="shared" si="159"/>
        <v>1900</v>
      </c>
      <c r="U607" s="22">
        <f t="shared" si="159"/>
        <v>1900</v>
      </c>
      <c r="W607" s="22" t="str">
        <f t="shared" si="157"/>
        <v>190000</v>
      </c>
      <c r="X607" s="22" t="str">
        <f t="shared" si="158"/>
        <v>190000</v>
      </c>
    </row>
    <row r="608" spans="2:24">
      <c r="B608" s="22"/>
      <c r="C608" s="22"/>
      <c r="E608" s="54"/>
      <c r="F608" s="77"/>
      <c r="G608" s="77"/>
      <c r="H608" s="78"/>
      <c r="I608" s="54"/>
      <c r="J608" s="39"/>
      <c r="K608" s="54"/>
      <c r="P608" s="22">
        <f t="shared" si="153"/>
        <v>0</v>
      </c>
      <c r="Q608" s="22" t="str">
        <f t="shared" si="155"/>
        <v>00</v>
      </c>
      <c r="R608" s="22">
        <f t="shared" si="154"/>
        <v>0</v>
      </c>
      <c r="S608" s="22" t="str">
        <f t="shared" si="156"/>
        <v>00</v>
      </c>
      <c r="T608" s="22">
        <f t="shared" si="159"/>
        <v>1900</v>
      </c>
      <c r="U608" s="22">
        <f t="shared" si="159"/>
        <v>1900</v>
      </c>
      <c r="W608" s="22" t="str">
        <f t="shared" si="157"/>
        <v>190000</v>
      </c>
      <c r="X608" s="22" t="str">
        <f t="shared" si="158"/>
        <v>190000</v>
      </c>
    </row>
    <row r="609" spans="2:24">
      <c r="B609" s="22"/>
      <c r="C609" s="22"/>
      <c r="E609" s="54"/>
      <c r="F609" s="77"/>
      <c r="G609" s="77"/>
      <c r="H609" s="78"/>
      <c r="I609" s="54"/>
      <c r="J609" s="39"/>
      <c r="K609" s="54"/>
      <c r="P609" s="22">
        <f t="shared" si="153"/>
        <v>0</v>
      </c>
      <c r="Q609" s="22" t="str">
        <f t="shared" si="155"/>
        <v>00</v>
      </c>
      <c r="R609" s="22">
        <f t="shared" si="154"/>
        <v>0</v>
      </c>
      <c r="S609" s="22" t="str">
        <f t="shared" si="156"/>
        <v>00</v>
      </c>
      <c r="T609" s="22">
        <f t="shared" si="159"/>
        <v>1900</v>
      </c>
      <c r="U609" s="22">
        <f t="shared" si="159"/>
        <v>1900</v>
      </c>
      <c r="W609" s="22" t="str">
        <f t="shared" si="157"/>
        <v>190000</v>
      </c>
      <c r="X609" s="22" t="str">
        <f t="shared" si="158"/>
        <v>190000</v>
      </c>
    </row>
    <row r="610" spans="2:24">
      <c r="B610" s="22"/>
      <c r="C610" s="22"/>
      <c r="E610" s="54"/>
      <c r="F610" s="77"/>
      <c r="G610" s="77"/>
      <c r="H610" s="78"/>
      <c r="I610" s="54"/>
      <c r="J610" s="39"/>
      <c r="K610" s="54"/>
      <c r="P610" s="22">
        <f t="shared" si="153"/>
        <v>0</v>
      </c>
      <c r="Q610" s="22" t="str">
        <f t="shared" si="155"/>
        <v>00</v>
      </c>
      <c r="R610" s="22">
        <f t="shared" si="154"/>
        <v>0</v>
      </c>
      <c r="S610" s="22" t="str">
        <f t="shared" si="156"/>
        <v>00</v>
      </c>
      <c r="T610" s="22">
        <f t="shared" si="159"/>
        <v>1900</v>
      </c>
      <c r="U610" s="22">
        <f t="shared" si="159"/>
        <v>1900</v>
      </c>
      <c r="W610" s="22" t="str">
        <f t="shared" si="157"/>
        <v>190000</v>
      </c>
      <c r="X610" s="22" t="str">
        <f t="shared" si="158"/>
        <v>190000</v>
      </c>
    </row>
    <row r="611" spans="2:24">
      <c r="B611" s="22"/>
      <c r="C611" s="22"/>
      <c r="E611" s="54"/>
      <c r="F611" s="77"/>
      <c r="G611" s="77"/>
      <c r="H611" s="78"/>
      <c r="I611" s="54"/>
      <c r="J611" s="39"/>
      <c r="K611" s="54"/>
      <c r="P611" s="22">
        <f t="shared" si="153"/>
        <v>0</v>
      </c>
      <c r="Q611" s="22" t="str">
        <f t="shared" si="155"/>
        <v>00</v>
      </c>
      <c r="R611" s="22">
        <f t="shared" si="154"/>
        <v>0</v>
      </c>
      <c r="S611" s="22" t="str">
        <f t="shared" si="156"/>
        <v>00</v>
      </c>
      <c r="T611" s="22">
        <f t="shared" si="159"/>
        <v>1900</v>
      </c>
      <c r="U611" s="22">
        <f t="shared" si="159"/>
        <v>1900</v>
      </c>
      <c r="W611" s="22" t="str">
        <f t="shared" si="157"/>
        <v>190000</v>
      </c>
      <c r="X611" s="22" t="str">
        <f t="shared" si="158"/>
        <v>190000</v>
      </c>
    </row>
    <row r="612" spans="2:24">
      <c r="B612" s="22"/>
      <c r="C612" s="22"/>
      <c r="E612" s="54"/>
      <c r="F612" s="77"/>
      <c r="G612" s="77"/>
      <c r="H612" s="78"/>
      <c r="I612" s="54"/>
      <c r="J612" s="39"/>
      <c r="K612" s="54"/>
      <c r="P612" s="22">
        <f t="shared" si="153"/>
        <v>0</v>
      </c>
      <c r="Q612" s="22" t="str">
        <f t="shared" si="155"/>
        <v>00</v>
      </c>
      <c r="R612" s="22">
        <f t="shared" si="154"/>
        <v>0</v>
      </c>
      <c r="S612" s="22" t="str">
        <f t="shared" si="156"/>
        <v>00</v>
      </c>
      <c r="T612" s="22">
        <f t="shared" si="159"/>
        <v>1900</v>
      </c>
      <c r="U612" s="22">
        <f t="shared" si="159"/>
        <v>1900</v>
      </c>
      <c r="W612" s="22" t="str">
        <f t="shared" si="157"/>
        <v>190000</v>
      </c>
      <c r="X612" s="22" t="str">
        <f t="shared" si="158"/>
        <v>190000</v>
      </c>
    </row>
    <row r="613" spans="2:24">
      <c r="B613" s="22"/>
      <c r="C613" s="22"/>
      <c r="E613" s="54"/>
      <c r="F613" s="77"/>
      <c r="G613" s="77"/>
      <c r="H613" s="78"/>
      <c r="I613" s="54"/>
      <c r="J613" s="39"/>
      <c r="K613" s="54"/>
      <c r="P613" s="22">
        <f t="shared" si="153"/>
        <v>0</v>
      </c>
      <c r="Q613" s="22" t="str">
        <f t="shared" si="155"/>
        <v>00</v>
      </c>
      <c r="R613" s="22">
        <f t="shared" si="154"/>
        <v>0</v>
      </c>
      <c r="S613" s="22" t="str">
        <f t="shared" si="156"/>
        <v>00</v>
      </c>
      <c r="T613" s="22">
        <f t="shared" si="159"/>
        <v>1900</v>
      </c>
      <c r="U613" s="22">
        <f t="shared" si="159"/>
        <v>1900</v>
      </c>
      <c r="W613" s="22" t="str">
        <f t="shared" si="157"/>
        <v>190000</v>
      </c>
      <c r="X613" s="22" t="str">
        <f t="shared" si="158"/>
        <v>190000</v>
      </c>
    </row>
    <row r="614" spans="2:24">
      <c r="B614" s="22"/>
      <c r="C614" s="22"/>
      <c r="E614" s="54"/>
      <c r="F614" s="77"/>
      <c r="G614" s="77"/>
      <c r="H614" s="78"/>
      <c r="I614" s="54"/>
      <c r="J614" s="39"/>
      <c r="K614" s="54"/>
      <c r="P614" s="22">
        <f t="shared" si="153"/>
        <v>0</v>
      </c>
      <c r="Q614" s="22" t="str">
        <f t="shared" si="155"/>
        <v>00</v>
      </c>
      <c r="R614" s="22">
        <f t="shared" si="154"/>
        <v>0</v>
      </c>
      <c r="S614" s="22" t="str">
        <f t="shared" si="156"/>
        <v>00</v>
      </c>
      <c r="T614" s="22">
        <f t="shared" si="159"/>
        <v>1900</v>
      </c>
      <c r="U614" s="22">
        <f t="shared" si="159"/>
        <v>1900</v>
      </c>
      <c r="W614" s="22" t="str">
        <f t="shared" si="157"/>
        <v>190000</v>
      </c>
      <c r="X614" s="22" t="str">
        <f t="shared" si="158"/>
        <v>190000</v>
      </c>
    </row>
    <row r="615" spans="2:24">
      <c r="B615" s="22"/>
      <c r="C615" s="22"/>
      <c r="E615" s="54"/>
      <c r="F615" s="77"/>
      <c r="G615" s="77"/>
      <c r="H615" s="78"/>
      <c r="I615" s="54"/>
      <c r="J615" s="39"/>
      <c r="K615" s="54"/>
      <c r="P615" s="22">
        <f t="shared" si="153"/>
        <v>0</v>
      </c>
      <c r="Q615" s="22" t="str">
        <f t="shared" si="155"/>
        <v>00</v>
      </c>
      <c r="R615" s="22">
        <f t="shared" si="154"/>
        <v>0</v>
      </c>
      <c r="S615" s="22" t="str">
        <f t="shared" si="156"/>
        <v>00</v>
      </c>
      <c r="T615" s="22">
        <f t="shared" si="159"/>
        <v>1900</v>
      </c>
      <c r="U615" s="22">
        <f t="shared" si="159"/>
        <v>1900</v>
      </c>
      <c r="W615" s="22" t="str">
        <f t="shared" si="157"/>
        <v>190000</v>
      </c>
      <c r="X615" s="22" t="str">
        <f t="shared" si="158"/>
        <v>190000</v>
      </c>
    </row>
    <row r="616" spans="2:24">
      <c r="B616" s="22"/>
      <c r="C616" s="22"/>
      <c r="E616" s="54"/>
      <c r="F616" s="77"/>
      <c r="G616" s="77"/>
      <c r="H616" s="78"/>
      <c r="I616" s="54"/>
      <c r="J616" s="39"/>
      <c r="K616" s="54"/>
      <c r="P616" s="22">
        <f t="shared" si="153"/>
        <v>0</v>
      </c>
      <c r="Q616" s="22" t="str">
        <f t="shared" si="155"/>
        <v>00</v>
      </c>
      <c r="R616" s="22">
        <f t="shared" si="154"/>
        <v>0</v>
      </c>
      <c r="S616" s="22" t="str">
        <f t="shared" si="156"/>
        <v>00</v>
      </c>
      <c r="T616" s="22">
        <f t="shared" si="159"/>
        <v>1900</v>
      </c>
      <c r="U616" s="22">
        <f t="shared" si="159"/>
        <v>1900</v>
      </c>
      <c r="W616" s="22" t="str">
        <f t="shared" si="157"/>
        <v>190000</v>
      </c>
      <c r="X616" s="22" t="str">
        <f t="shared" si="158"/>
        <v>190000</v>
      </c>
    </row>
    <row r="617" spans="2:24">
      <c r="B617" s="22"/>
      <c r="C617" s="22"/>
      <c r="E617" s="54"/>
      <c r="F617" s="77"/>
      <c r="G617" s="77"/>
      <c r="H617" s="78"/>
      <c r="I617" s="54"/>
      <c r="J617" s="39"/>
      <c r="K617" s="54"/>
      <c r="P617" s="22">
        <f t="shared" si="153"/>
        <v>0</v>
      </c>
      <c r="Q617" s="22" t="str">
        <f t="shared" si="155"/>
        <v>00</v>
      </c>
      <c r="R617" s="22">
        <f t="shared" si="154"/>
        <v>0</v>
      </c>
      <c r="S617" s="22" t="str">
        <f t="shared" si="156"/>
        <v>00</v>
      </c>
      <c r="T617" s="22">
        <f t="shared" si="159"/>
        <v>1900</v>
      </c>
      <c r="U617" s="22">
        <f t="shared" si="159"/>
        <v>1900</v>
      </c>
      <c r="W617" s="22" t="str">
        <f t="shared" si="157"/>
        <v>190000</v>
      </c>
      <c r="X617" s="22" t="str">
        <f t="shared" si="158"/>
        <v>190000</v>
      </c>
    </row>
    <row r="618" spans="2:24">
      <c r="B618" s="22"/>
      <c r="C618" s="22"/>
      <c r="E618" s="54"/>
      <c r="F618" s="77"/>
      <c r="G618" s="77"/>
      <c r="H618" s="78"/>
      <c r="I618" s="54"/>
      <c r="J618" s="39"/>
      <c r="K618" s="54"/>
      <c r="P618" s="22">
        <f t="shared" si="153"/>
        <v>0</v>
      </c>
      <c r="Q618" s="22" t="str">
        <f t="shared" si="155"/>
        <v>00</v>
      </c>
      <c r="R618" s="22">
        <f t="shared" si="154"/>
        <v>0</v>
      </c>
      <c r="S618" s="22" t="str">
        <f t="shared" si="156"/>
        <v>00</v>
      </c>
      <c r="T618" s="22">
        <f t="shared" si="159"/>
        <v>1900</v>
      </c>
      <c r="U618" s="22">
        <f t="shared" si="159"/>
        <v>1900</v>
      </c>
      <c r="W618" s="22" t="str">
        <f t="shared" si="157"/>
        <v>190000</v>
      </c>
      <c r="X618" s="22" t="str">
        <f t="shared" si="158"/>
        <v>190000</v>
      </c>
    </row>
    <row r="619" spans="2:24">
      <c r="B619" s="22"/>
      <c r="C619" s="22"/>
      <c r="E619" s="54"/>
      <c r="F619" s="77"/>
      <c r="G619" s="77"/>
      <c r="H619" s="78"/>
      <c r="I619" s="54"/>
      <c r="J619" s="39"/>
      <c r="K619" s="54"/>
      <c r="P619" s="22">
        <f t="shared" si="153"/>
        <v>0</v>
      </c>
      <c r="Q619" s="22" t="str">
        <f t="shared" si="155"/>
        <v>00</v>
      </c>
      <c r="R619" s="22">
        <f t="shared" si="154"/>
        <v>0</v>
      </c>
      <c r="S619" s="22" t="str">
        <f t="shared" si="156"/>
        <v>00</v>
      </c>
      <c r="T619" s="22">
        <f t="shared" si="159"/>
        <v>1900</v>
      </c>
      <c r="U619" s="22">
        <f t="shared" si="159"/>
        <v>1900</v>
      </c>
      <c r="W619" s="22" t="str">
        <f t="shared" si="157"/>
        <v>190000</v>
      </c>
      <c r="X619" s="22" t="str">
        <f t="shared" si="158"/>
        <v>190000</v>
      </c>
    </row>
    <row r="620" spans="2:24">
      <c r="B620" s="22"/>
      <c r="C620" s="22"/>
      <c r="E620" s="54"/>
      <c r="F620" s="77"/>
      <c r="G620" s="77"/>
      <c r="H620" s="78"/>
      <c r="I620" s="54"/>
      <c r="J620" s="39"/>
      <c r="K620" s="54"/>
      <c r="P620" s="22">
        <f t="shared" si="153"/>
        <v>0</v>
      </c>
      <c r="Q620" s="22" t="str">
        <f t="shared" si="155"/>
        <v>00</v>
      </c>
      <c r="R620" s="22">
        <f t="shared" si="154"/>
        <v>0</v>
      </c>
      <c r="S620" s="22" t="str">
        <f t="shared" si="156"/>
        <v>00</v>
      </c>
      <c r="T620" s="22">
        <f t="shared" si="159"/>
        <v>1900</v>
      </c>
      <c r="U620" s="22">
        <f t="shared" si="159"/>
        <v>1900</v>
      </c>
      <c r="W620" s="22" t="str">
        <f t="shared" si="157"/>
        <v>190000</v>
      </c>
      <c r="X620" s="22" t="str">
        <f t="shared" si="158"/>
        <v>190000</v>
      </c>
    </row>
    <row r="621" spans="2:24">
      <c r="B621" s="22"/>
      <c r="C621" s="22"/>
      <c r="E621" s="54"/>
      <c r="F621" s="77"/>
      <c r="G621" s="77"/>
      <c r="H621" s="78"/>
      <c r="I621" s="54"/>
      <c r="J621" s="39"/>
      <c r="K621" s="54"/>
      <c r="P621" s="22">
        <f t="shared" si="153"/>
        <v>0</v>
      </c>
      <c r="Q621" s="22" t="str">
        <f t="shared" si="155"/>
        <v>00</v>
      </c>
      <c r="R621" s="22">
        <f t="shared" si="154"/>
        <v>0</v>
      </c>
      <c r="S621" s="22" t="str">
        <f t="shared" si="156"/>
        <v>00</v>
      </c>
      <c r="T621" s="22">
        <f t="shared" si="159"/>
        <v>1900</v>
      </c>
      <c r="U621" s="22">
        <f t="shared" si="159"/>
        <v>1900</v>
      </c>
      <c r="W621" s="22" t="str">
        <f t="shared" si="157"/>
        <v>190000</v>
      </c>
      <c r="X621" s="22" t="str">
        <f t="shared" si="158"/>
        <v>190000</v>
      </c>
    </row>
    <row r="622" spans="2:24">
      <c r="B622" s="22"/>
      <c r="C622" s="22"/>
      <c r="E622" s="54"/>
      <c r="F622" s="77"/>
      <c r="G622" s="77"/>
      <c r="H622" s="78"/>
      <c r="I622" s="54"/>
      <c r="J622" s="39"/>
      <c r="K622" s="54"/>
      <c r="P622" s="22">
        <f t="shared" si="153"/>
        <v>0</v>
      </c>
      <c r="Q622" s="22" t="str">
        <f t="shared" si="155"/>
        <v>00</v>
      </c>
      <c r="R622" s="22">
        <f t="shared" si="154"/>
        <v>0</v>
      </c>
      <c r="S622" s="22" t="str">
        <f t="shared" si="156"/>
        <v>00</v>
      </c>
      <c r="T622" s="22">
        <f t="shared" si="159"/>
        <v>1900</v>
      </c>
      <c r="U622" s="22">
        <f t="shared" si="159"/>
        <v>1900</v>
      </c>
      <c r="W622" s="22" t="str">
        <f t="shared" si="157"/>
        <v>190000</v>
      </c>
      <c r="X622" s="22" t="str">
        <f t="shared" si="158"/>
        <v>190000</v>
      </c>
    </row>
    <row r="623" spans="2:24">
      <c r="B623" s="22"/>
      <c r="C623" s="22"/>
      <c r="E623" s="54"/>
      <c r="F623" s="77"/>
      <c r="G623" s="77"/>
      <c r="H623" s="78"/>
      <c r="I623" s="54"/>
      <c r="J623" s="39"/>
      <c r="K623" s="54"/>
      <c r="P623" s="22">
        <f t="shared" si="153"/>
        <v>0</v>
      </c>
      <c r="Q623" s="22" t="str">
        <f t="shared" si="155"/>
        <v>00</v>
      </c>
      <c r="R623" s="22">
        <f t="shared" si="154"/>
        <v>0</v>
      </c>
      <c r="S623" s="22" t="str">
        <f t="shared" si="156"/>
        <v>00</v>
      </c>
      <c r="T623" s="22">
        <f t="shared" si="159"/>
        <v>1900</v>
      </c>
      <c r="U623" s="22">
        <f t="shared" si="159"/>
        <v>1900</v>
      </c>
      <c r="W623" s="22" t="str">
        <f t="shared" si="157"/>
        <v>190000</v>
      </c>
      <c r="X623" s="22" t="str">
        <f t="shared" si="158"/>
        <v>190000</v>
      </c>
    </row>
    <row r="624" spans="2:24">
      <c r="B624" s="22"/>
      <c r="C624" s="22"/>
      <c r="E624" s="54"/>
      <c r="F624" s="77"/>
      <c r="G624" s="77"/>
      <c r="H624" s="78"/>
      <c r="I624" s="54"/>
      <c r="J624" s="39"/>
      <c r="K624" s="54"/>
      <c r="P624" s="22">
        <f t="shared" si="153"/>
        <v>0</v>
      </c>
      <c r="Q624" s="22" t="str">
        <f t="shared" si="155"/>
        <v>00</v>
      </c>
      <c r="R624" s="22">
        <f t="shared" si="154"/>
        <v>0</v>
      </c>
      <c r="S624" s="22" t="str">
        <f t="shared" si="156"/>
        <v>00</v>
      </c>
      <c r="T624" s="22">
        <f t="shared" si="159"/>
        <v>1900</v>
      </c>
      <c r="U624" s="22">
        <f t="shared" si="159"/>
        <v>1900</v>
      </c>
      <c r="W624" s="22" t="str">
        <f t="shared" si="157"/>
        <v>190000</v>
      </c>
      <c r="X624" s="22" t="str">
        <f t="shared" si="158"/>
        <v>190000</v>
      </c>
    </row>
    <row r="625" spans="2:24">
      <c r="B625" s="22"/>
      <c r="C625" s="22"/>
      <c r="E625" s="54"/>
      <c r="F625" s="77"/>
      <c r="G625" s="77"/>
      <c r="H625" s="78"/>
      <c r="I625" s="54"/>
      <c r="J625" s="39"/>
      <c r="K625" s="54"/>
      <c r="P625" s="22">
        <f t="shared" si="153"/>
        <v>0</v>
      </c>
      <c r="Q625" s="22" t="str">
        <f t="shared" si="155"/>
        <v>00</v>
      </c>
      <c r="R625" s="22">
        <f t="shared" si="154"/>
        <v>0</v>
      </c>
      <c r="S625" s="22" t="str">
        <f t="shared" si="156"/>
        <v>00</v>
      </c>
      <c r="T625" s="22">
        <f t="shared" si="159"/>
        <v>1900</v>
      </c>
      <c r="U625" s="22">
        <f t="shared" si="159"/>
        <v>1900</v>
      </c>
      <c r="W625" s="22" t="str">
        <f t="shared" si="157"/>
        <v>190000</v>
      </c>
      <c r="X625" s="22" t="str">
        <f t="shared" si="158"/>
        <v>190000</v>
      </c>
    </row>
    <row r="626" spans="2:24">
      <c r="B626" s="22"/>
      <c r="C626" s="22"/>
      <c r="E626" s="54"/>
      <c r="F626" s="77"/>
      <c r="G626" s="77"/>
      <c r="H626" s="78"/>
      <c r="I626" s="54"/>
      <c r="J626" s="39"/>
      <c r="K626" s="54"/>
      <c r="P626" s="22">
        <f t="shared" si="153"/>
        <v>0</v>
      </c>
      <c r="Q626" s="22" t="str">
        <f t="shared" si="155"/>
        <v>00</v>
      </c>
      <c r="R626" s="22">
        <f t="shared" si="154"/>
        <v>0</v>
      </c>
      <c r="S626" s="22" t="str">
        <f t="shared" si="156"/>
        <v>00</v>
      </c>
      <c r="T626" s="22">
        <f t="shared" si="159"/>
        <v>1900</v>
      </c>
      <c r="U626" s="22">
        <f t="shared" si="159"/>
        <v>1900</v>
      </c>
      <c r="W626" s="22" t="str">
        <f t="shared" si="157"/>
        <v>190000</v>
      </c>
      <c r="X626" s="22" t="str">
        <f t="shared" si="158"/>
        <v>190000</v>
      </c>
    </row>
    <row r="627" spans="2:24">
      <c r="B627" s="22"/>
      <c r="C627" s="22"/>
      <c r="E627" s="54"/>
      <c r="F627" s="77"/>
      <c r="G627" s="77"/>
      <c r="H627" s="78"/>
      <c r="I627" s="54"/>
      <c r="J627" s="39"/>
      <c r="K627" s="54"/>
      <c r="P627" s="22">
        <f t="shared" si="153"/>
        <v>0</v>
      </c>
      <c r="Q627" s="22" t="str">
        <f t="shared" si="155"/>
        <v>00</v>
      </c>
      <c r="R627" s="22">
        <f t="shared" si="154"/>
        <v>0</v>
      </c>
      <c r="S627" s="22" t="str">
        <f t="shared" si="156"/>
        <v>00</v>
      </c>
      <c r="T627" s="22">
        <f t="shared" si="159"/>
        <v>1900</v>
      </c>
      <c r="U627" s="22">
        <f t="shared" si="159"/>
        <v>1900</v>
      </c>
      <c r="W627" s="22" t="str">
        <f t="shared" si="157"/>
        <v>190000</v>
      </c>
      <c r="X627" s="22" t="str">
        <f t="shared" si="158"/>
        <v>190000</v>
      </c>
    </row>
    <row r="628" spans="2:24">
      <c r="B628" s="22"/>
      <c r="C628" s="22"/>
      <c r="E628" s="54"/>
      <c r="F628" s="77"/>
      <c r="G628" s="77"/>
      <c r="H628" s="78"/>
      <c r="I628" s="54"/>
      <c r="J628" s="39"/>
      <c r="K628" s="54"/>
      <c r="P628" s="22">
        <f t="shared" si="153"/>
        <v>0</v>
      </c>
      <c r="Q628" s="22" t="str">
        <f t="shared" si="155"/>
        <v>00</v>
      </c>
      <c r="R628" s="22">
        <f t="shared" si="154"/>
        <v>0</v>
      </c>
      <c r="S628" s="22" t="str">
        <f t="shared" si="156"/>
        <v>00</v>
      </c>
      <c r="T628" s="22">
        <f t="shared" si="159"/>
        <v>1900</v>
      </c>
      <c r="U628" s="22">
        <f t="shared" si="159"/>
        <v>1900</v>
      </c>
      <c r="W628" s="22" t="str">
        <f t="shared" si="157"/>
        <v>190000</v>
      </c>
      <c r="X628" s="22" t="str">
        <f t="shared" si="158"/>
        <v>190000</v>
      </c>
    </row>
    <row r="629" spans="2:24">
      <c r="B629" s="22"/>
      <c r="C629" s="22"/>
      <c r="E629" s="54"/>
      <c r="F629" s="77"/>
      <c r="G629" s="77"/>
      <c r="H629" s="78"/>
      <c r="I629" s="54"/>
      <c r="J629" s="39"/>
      <c r="K629" s="54"/>
      <c r="P629" s="22">
        <f t="shared" si="153"/>
        <v>0</v>
      </c>
      <c r="Q629" s="22" t="str">
        <f t="shared" si="155"/>
        <v>00</v>
      </c>
      <c r="R629" s="22">
        <f t="shared" si="154"/>
        <v>0</v>
      </c>
      <c r="S629" s="22" t="str">
        <f t="shared" si="156"/>
        <v>00</v>
      </c>
      <c r="T629" s="22">
        <f t="shared" si="159"/>
        <v>1900</v>
      </c>
      <c r="U629" s="22">
        <f t="shared" si="159"/>
        <v>1900</v>
      </c>
      <c r="W629" s="22" t="str">
        <f t="shared" si="157"/>
        <v>190000</v>
      </c>
      <c r="X629" s="22" t="str">
        <f t="shared" si="158"/>
        <v>190000</v>
      </c>
    </row>
    <row r="630" spans="2:24">
      <c r="B630" s="22"/>
      <c r="C630" s="22"/>
      <c r="E630" s="54"/>
      <c r="F630" s="77"/>
      <c r="G630" s="77"/>
      <c r="H630" s="78"/>
      <c r="I630" s="54"/>
      <c r="J630" s="39"/>
      <c r="K630" s="54"/>
      <c r="P630" s="22">
        <f t="shared" si="153"/>
        <v>0</v>
      </c>
      <c r="Q630" s="22" t="str">
        <f t="shared" si="155"/>
        <v>00</v>
      </c>
      <c r="R630" s="22">
        <f t="shared" si="154"/>
        <v>0</v>
      </c>
      <c r="S630" s="22" t="str">
        <f t="shared" si="156"/>
        <v>00</v>
      </c>
      <c r="T630" s="22">
        <f t="shared" si="159"/>
        <v>1900</v>
      </c>
      <c r="U630" s="22">
        <f t="shared" si="159"/>
        <v>1900</v>
      </c>
      <c r="W630" s="22" t="str">
        <f t="shared" si="157"/>
        <v>190000</v>
      </c>
      <c r="X630" s="22" t="str">
        <f t="shared" si="158"/>
        <v>190000</v>
      </c>
    </row>
    <row r="631" spans="2:24">
      <c r="B631" s="22"/>
      <c r="C631" s="22"/>
      <c r="E631" s="54"/>
      <c r="F631" s="77"/>
      <c r="G631" s="77"/>
      <c r="H631" s="78"/>
      <c r="I631" s="54"/>
      <c r="J631" s="39"/>
      <c r="K631" s="54"/>
      <c r="P631" s="22">
        <f t="shared" si="153"/>
        <v>0</v>
      </c>
      <c r="Q631" s="22" t="str">
        <f t="shared" si="155"/>
        <v>00</v>
      </c>
      <c r="R631" s="22">
        <f t="shared" si="154"/>
        <v>0</v>
      </c>
      <c r="S631" s="22" t="str">
        <f t="shared" si="156"/>
        <v>00</v>
      </c>
      <c r="T631" s="22">
        <f t="shared" si="159"/>
        <v>1900</v>
      </c>
      <c r="U631" s="22">
        <f t="shared" si="159"/>
        <v>1900</v>
      </c>
      <c r="W631" s="22" t="str">
        <f t="shared" si="157"/>
        <v>190000</v>
      </c>
      <c r="X631" s="22" t="str">
        <f t="shared" si="158"/>
        <v>190000</v>
      </c>
    </row>
    <row r="632" spans="2:24">
      <c r="B632" s="22"/>
      <c r="C632" s="22"/>
      <c r="E632" s="54"/>
      <c r="F632" s="77"/>
      <c r="G632" s="77"/>
      <c r="H632" s="78"/>
      <c r="I632" s="54"/>
      <c r="J632" s="39"/>
      <c r="K632" s="54"/>
      <c r="P632" s="22">
        <f t="shared" si="153"/>
        <v>0</v>
      </c>
      <c r="Q632" s="22" t="str">
        <f t="shared" si="155"/>
        <v>00</v>
      </c>
      <c r="R632" s="22">
        <f t="shared" si="154"/>
        <v>0</v>
      </c>
      <c r="S632" s="22" t="str">
        <f t="shared" si="156"/>
        <v>00</v>
      </c>
      <c r="T632" s="22">
        <f t="shared" si="159"/>
        <v>1900</v>
      </c>
      <c r="U632" s="22">
        <f t="shared" si="159"/>
        <v>1900</v>
      </c>
      <c r="W632" s="22" t="str">
        <f t="shared" si="157"/>
        <v>190000</v>
      </c>
      <c r="X632" s="22" t="str">
        <f t="shared" si="158"/>
        <v>190000</v>
      </c>
    </row>
    <row r="633" spans="2:24">
      <c r="B633" s="22"/>
      <c r="C633" s="22"/>
      <c r="E633" s="54"/>
      <c r="F633" s="77"/>
      <c r="G633" s="77"/>
      <c r="H633" s="78"/>
      <c r="I633" s="54"/>
      <c r="J633" s="39"/>
      <c r="K633" s="54"/>
      <c r="P633" s="22">
        <f t="shared" si="153"/>
        <v>0</v>
      </c>
      <c r="Q633" s="22" t="str">
        <f t="shared" si="155"/>
        <v>00</v>
      </c>
      <c r="R633" s="22">
        <f t="shared" si="154"/>
        <v>0</v>
      </c>
      <c r="S633" s="22" t="str">
        <f t="shared" si="156"/>
        <v>00</v>
      </c>
      <c r="T633" s="22">
        <f t="shared" si="159"/>
        <v>1900</v>
      </c>
      <c r="U633" s="22">
        <f t="shared" si="159"/>
        <v>1900</v>
      </c>
      <c r="W633" s="22" t="str">
        <f t="shared" si="157"/>
        <v>190000</v>
      </c>
      <c r="X633" s="22" t="str">
        <f t="shared" si="158"/>
        <v>190000</v>
      </c>
    </row>
    <row r="634" spans="2:24">
      <c r="B634" s="22"/>
      <c r="C634" s="22"/>
      <c r="E634" s="54"/>
      <c r="F634" s="77"/>
      <c r="G634" s="77"/>
      <c r="H634" s="78"/>
      <c r="I634" s="54"/>
      <c r="J634" s="39"/>
      <c r="K634" s="54"/>
      <c r="P634" s="22">
        <f t="shared" si="153"/>
        <v>0</v>
      </c>
      <c r="Q634" s="22" t="str">
        <f t="shared" si="155"/>
        <v>00</v>
      </c>
      <c r="R634" s="22">
        <f t="shared" si="154"/>
        <v>0</v>
      </c>
      <c r="S634" s="22" t="str">
        <f t="shared" si="156"/>
        <v>00</v>
      </c>
      <c r="T634" s="22">
        <f t="shared" si="159"/>
        <v>1900</v>
      </c>
      <c r="U634" s="22">
        <f t="shared" si="159"/>
        <v>1900</v>
      </c>
      <c r="W634" s="22" t="str">
        <f t="shared" si="157"/>
        <v>190000</v>
      </c>
      <c r="X634" s="22" t="str">
        <f t="shared" si="158"/>
        <v>190000</v>
      </c>
    </row>
    <row r="635" spans="2:24">
      <c r="B635" s="22"/>
      <c r="C635" s="22"/>
      <c r="E635" s="54"/>
      <c r="F635" s="77"/>
      <c r="G635" s="77"/>
      <c r="H635" s="78"/>
      <c r="I635" s="54"/>
      <c r="J635" s="39"/>
      <c r="K635" s="54"/>
      <c r="P635" s="22">
        <f t="shared" si="153"/>
        <v>0</v>
      </c>
      <c r="Q635" s="22" t="str">
        <f t="shared" si="155"/>
        <v>00</v>
      </c>
      <c r="R635" s="22">
        <f t="shared" si="154"/>
        <v>0</v>
      </c>
      <c r="S635" s="22" t="str">
        <f t="shared" si="156"/>
        <v>00</v>
      </c>
      <c r="T635" s="22">
        <f t="shared" si="159"/>
        <v>1900</v>
      </c>
      <c r="U635" s="22">
        <f t="shared" si="159"/>
        <v>1900</v>
      </c>
      <c r="W635" s="22" t="str">
        <f t="shared" si="157"/>
        <v>190000</v>
      </c>
      <c r="X635" s="22" t="str">
        <f t="shared" si="158"/>
        <v>190000</v>
      </c>
    </row>
    <row r="636" spans="2:24">
      <c r="B636" s="22"/>
      <c r="C636" s="22"/>
      <c r="E636" s="54"/>
      <c r="F636" s="77"/>
      <c r="G636" s="77"/>
      <c r="H636" s="78"/>
      <c r="I636" s="54"/>
      <c r="J636" s="39"/>
      <c r="K636" s="54"/>
      <c r="P636" s="22">
        <f t="shared" si="153"/>
        <v>0</v>
      </c>
      <c r="Q636" s="22" t="str">
        <f t="shared" si="155"/>
        <v>00</v>
      </c>
      <c r="R636" s="22">
        <f t="shared" si="154"/>
        <v>0</v>
      </c>
      <c r="S636" s="22" t="str">
        <f t="shared" si="156"/>
        <v>00</v>
      </c>
      <c r="T636" s="22">
        <f t="shared" si="159"/>
        <v>1900</v>
      </c>
      <c r="U636" s="22">
        <f t="shared" si="159"/>
        <v>1900</v>
      </c>
      <c r="W636" s="22" t="str">
        <f t="shared" si="157"/>
        <v>190000</v>
      </c>
      <c r="X636" s="22" t="str">
        <f t="shared" si="158"/>
        <v>190000</v>
      </c>
    </row>
    <row r="637" spans="2:24">
      <c r="B637" s="22"/>
      <c r="C637" s="22"/>
      <c r="E637" s="54"/>
      <c r="F637" s="77"/>
      <c r="G637" s="77"/>
      <c r="H637" s="78"/>
      <c r="I637" s="54"/>
      <c r="J637" s="39"/>
      <c r="K637" s="54"/>
      <c r="P637" s="22">
        <f t="shared" si="153"/>
        <v>0</v>
      </c>
      <c r="Q637" s="22" t="str">
        <f t="shared" si="155"/>
        <v>00</v>
      </c>
      <c r="R637" s="22">
        <f t="shared" si="154"/>
        <v>0</v>
      </c>
      <c r="S637" s="22" t="str">
        <f t="shared" si="156"/>
        <v>00</v>
      </c>
      <c r="T637" s="22">
        <f t="shared" si="159"/>
        <v>1900</v>
      </c>
      <c r="U637" s="22">
        <f t="shared" si="159"/>
        <v>1900</v>
      </c>
      <c r="W637" s="22" t="str">
        <f t="shared" si="157"/>
        <v>190000</v>
      </c>
      <c r="X637" s="22" t="str">
        <f t="shared" si="158"/>
        <v>190000</v>
      </c>
    </row>
    <row r="638" spans="2:24">
      <c r="B638" s="22"/>
      <c r="C638" s="22"/>
      <c r="E638" s="54"/>
      <c r="F638" s="77"/>
      <c r="G638" s="77"/>
      <c r="H638" s="78"/>
      <c r="I638" s="54"/>
      <c r="J638" s="39"/>
      <c r="K638" s="54"/>
      <c r="P638" s="22">
        <f t="shared" si="153"/>
        <v>0</v>
      </c>
      <c r="Q638" s="22" t="str">
        <f t="shared" si="155"/>
        <v>00</v>
      </c>
      <c r="R638" s="22">
        <f t="shared" si="154"/>
        <v>0</v>
      </c>
      <c r="S638" s="22" t="str">
        <f t="shared" si="156"/>
        <v>00</v>
      </c>
      <c r="T638" s="22">
        <f t="shared" si="159"/>
        <v>1900</v>
      </c>
      <c r="U638" s="22">
        <f t="shared" si="159"/>
        <v>1900</v>
      </c>
      <c r="W638" s="22" t="str">
        <f t="shared" si="157"/>
        <v>190000</v>
      </c>
      <c r="X638" s="22" t="str">
        <f t="shared" si="158"/>
        <v>190000</v>
      </c>
    </row>
    <row r="639" spans="2:24">
      <c r="B639" s="22"/>
      <c r="C639" s="22"/>
      <c r="E639" s="54"/>
      <c r="F639" s="77"/>
      <c r="G639" s="77"/>
      <c r="H639" s="78"/>
      <c r="I639" s="54"/>
      <c r="J639" s="39"/>
      <c r="K639" s="54"/>
      <c r="P639" s="22">
        <f t="shared" si="153"/>
        <v>0</v>
      </c>
      <c r="Q639" s="22" t="str">
        <f t="shared" si="155"/>
        <v>00</v>
      </c>
      <c r="R639" s="22">
        <f t="shared" si="154"/>
        <v>0</v>
      </c>
      <c r="S639" s="22" t="str">
        <f t="shared" si="156"/>
        <v>00</v>
      </c>
      <c r="T639" s="22">
        <f t="shared" si="159"/>
        <v>1900</v>
      </c>
      <c r="U639" s="22">
        <f t="shared" si="159"/>
        <v>1900</v>
      </c>
      <c r="W639" s="22" t="str">
        <f t="shared" si="157"/>
        <v>190000</v>
      </c>
      <c r="X639" s="22" t="str">
        <f t="shared" si="158"/>
        <v>190000</v>
      </c>
    </row>
    <row r="640" spans="2:24">
      <c r="B640" s="22"/>
      <c r="C640" s="22"/>
      <c r="E640" s="54"/>
      <c r="F640" s="77"/>
      <c r="G640" s="77"/>
      <c r="H640" s="78"/>
      <c r="I640" s="54"/>
      <c r="J640" s="39"/>
      <c r="K640" s="54"/>
      <c r="P640" s="22">
        <f t="shared" ref="P640:P696" si="160">WEEKNUM(F640,2)-1</f>
        <v>0</v>
      </c>
      <c r="Q640" s="22" t="str">
        <f t="shared" si="155"/>
        <v>00</v>
      </c>
      <c r="R640" s="22">
        <f t="shared" ref="R640:R696" si="161">WEEKNUM(G640,2)-1</f>
        <v>0</v>
      </c>
      <c r="S640" s="22" t="str">
        <f t="shared" si="156"/>
        <v>00</v>
      </c>
      <c r="T640" s="22">
        <f t="shared" si="159"/>
        <v>1900</v>
      </c>
      <c r="U640" s="22">
        <f t="shared" si="159"/>
        <v>1900</v>
      </c>
      <c r="W640" s="22" t="str">
        <f t="shared" si="157"/>
        <v>190000</v>
      </c>
      <c r="X640" s="22" t="str">
        <f t="shared" si="158"/>
        <v>190000</v>
      </c>
    </row>
    <row r="641" spans="2:24">
      <c r="B641" s="22"/>
      <c r="C641" s="22"/>
      <c r="E641" s="54"/>
      <c r="F641" s="77"/>
      <c r="G641" s="77"/>
      <c r="H641" s="78"/>
      <c r="I641" s="54"/>
      <c r="J641" s="39"/>
      <c r="K641" s="54"/>
      <c r="P641" s="22">
        <f t="shared" si="160"/>
        <v>0</v>
      </c>
      <c r="Q641" s="22" t="str">
        <f t="shared" si="155"/>
        <v>00</v>
      </c>
      <c r="R641" s="22">
        <f t="shared" si="161"/>
        <v>0</v>
      </c>
      <c r="S641" s="22" t="str">
        <f t="shared" si="156"/>
        <v>00</v>
      </c>
      <c r="T641" s="22">
        <f t="shared" si="159"/>
        <v>1900</v>
      </c>
      <c r="U641" s="22">
        <f t="shared" si="159"/>
        <v>1900</v>
      </c>
      <c r="W641" s="22" t="str">
        <f t="shared" si="157"/>
        <v>190000</v>
      </c>
      <c r="X641" s="22" t="str">
        <f t="shared" si="158"/>
        <v>190000</v>
      </c>
    </row>
    <row r="642" spans="2:24">
      <c r="B642" s="22"/>
      <c r="C642" s="22"/>
      <c r="E642" s="54"/>
      <c r="F642" s="77"/>
      <c r="G642" s="77"/>
      <c r="H642" s="78"/>
      <c r="I642" s="54"/>
      <c r="J642" s="39"/>
      <c r="K642" s="54"/>
      <c r="P642" s="22">
        <f t="shared" si="160"/>
        <v>0</v>
      </c>
      <c r="Q642" s="22" t="str">
        <f t="shared" si="155"/>
        <v>00</v>
      </c>
      <c r="R642" s="22">
        <f t="shared" si="161"/>
        <v>0</v>
      </c>
      <c r="S642" s="22" t="str">
        <f t="shared" si="156"/>
        <v>00</v>
      </c>
      <c r="T642" s="22">
        <f t="shared" si="159"/>
        <v>1900</v>
      </c>
      <c r="U642" s="22">
        <f t="shared" si="159"/>
        <v>1900</v>
      </c>
      <c r="W642" s="22" t="str">
        <f t="shared" si="157"/>
        <v>190000</v>
      </c>
      <c r="X642" s="22" t="str">
        <f t="shared" si="158"/>
        <v>190000</v>
      </c>
    </row>
    <row r="643" spans="2:24">
      <c r="B643" s="22"/>
      <c r="C643" s="22"/>
      <c r="E643" s="54"/>
      <c r="F643" s="77"/>
      <c r="G643" s="77"/>
      <c r="H643" s="78"/>
      <c r="I643" s="54"/>
      <c r="J643" s="39"/>
      <c r="K643" s="54"/>
      <c r="P643" s="22">
        <f t="shared" si="160"/>
        <v>0</v>
      </c>
      <c r="Q643" s="22" t="str">
        <f t="shared" ref="Q643:Q696" si="162">TEXT(P643,"00")</f>
        <v>00</v>
      </c>
      <c r="R643" s="22">
        <f t="shared" si="161"/>
        <v>0</v>
      </c>
      <c r="S643" s="22" t="str">
        <f t="shared" ref="S643:S696" si="163">TEXT(R643,"00")</f>
        <v>00</v>
      </c>
      <c r="T643" s="22">
        <f t="shared" si="159"/>
        <v>1900</v>
      </c>
      <c r="U643" s="22">
        <f t="shared" si="159"/>
        <v>1900</v>
      </c>
      <c r="W643" s="22" t="str">
        <f t="shared" ref="W643:W696" si="164">T643&amp;Q643</f>
        <v>190000</v>
      </c>
      <c r="X643" s="22" t="str">
        <f t="shared" ref="X643:X696" si="165">U643&amp;S643</f>
        <v>190000</v>
      </c>
    </row>
    <row r="644" spans="2:24">
      <c r="B644" s="22"/>
      <c r="C644" s="22"/>
      <c r="E644" s="54"/>
      <c r="F644" s="77"/>
      <c r="G644" s="77"/>
      <c r="H644" s="78"/>
      <c r="I644" s="54"/>
      <c r="J644" s="39"/>
      <c r="K644" s="54"/>
      <c r="P644" s="22">
        <f t="shared" si="160"/>
        <v>0</v>
      </c>
      <c r="Q644" s="22" t="str">
        <f t="shared" si="162"/>
        <v>00</v>
      </c>
      <c r="R644" s="22">
        <f t="shared" si="161"/>
        <v>0</v>
      </c>
      <c r="S644" s="22" t="str">
        <f t="shared" si="163"/>
        <v>00</v>
      </c>
      <c r="T644" s="22">
        <f t="shared" si="159"/>
        <v>1900</v>
      </c>
      <c r="U644" s="22">
        <f t="shared" si="159"/>
        <v>1900</v>
      </c>
      <c r="W644" s="22" t="str">
        <f t="shared" si="164"/>
        <v>190000</v>
      </c>
      <c r="X644" s="22" t="str">
        <f t="shared" si="165"/>
        <v>190000</v>
      </c>
    </row>
    <row r="645" spans="2:24">
      <c r="B645" s="22"/>
      <c r="C645" s="22"/>
      <c r="E645" s="54"/>
      <c r="F645" s="77"/>
      <c r="G645" s="77"/>
      <c r="H645" s="78"/>
      <c r="I645" s="54"/>
      <c r="J645" s="39"/>
      <c r="K645" s="54"/>
      <c r="P645" s="22">
        <f t="shared" si="160"/>
        <v>0</v>
      </c>
      <c r="Q645" s="22" t="str">
        <f t="shared" si="162"/>
        <v>00</v>
      </c>
      <c r="R645" s="22">
        <f t="shared" si="161"/>
        <v>0</v>
      </c>
      <c r="S645" s="22" t="str">
        <f t="shared" si="163"/>
        <v>00</v>
      </c>
      <c r="T645" s="22">
        <f t="shared" si="159"/>
        <v>1900</v>
      </c>
      <c r="U645" s="22">
        <f t="shared" si="159"/>
        <v>1900</v>
      </c>
      <c r="W645" s="22" t="str">
        <f t="shared" si="164"/>
        <v>190000</v>
      </c>
      <c r="X645" s="22" t="str">
        <f t="shared" si="165"/>
        <v>190000</v>
      </c>
    </row>
    <row r="646" spans="2:24">
      <c r="B646" s="22"/>
      <c r="C646" s="22"/>
      <c r="E646" s="54"/>
      <c r="F646" s="77"/>
      <c r="G646" s="77"/>
      <c r="H646" s="78"/>
      <c r="I646" s="54"/>
      <c r="J646" s="39"/>
      <c r="K646" s="54"/>
      <c r="P646" s="22">
        <f t="shared" si="160"/>
        <v>0</v>
      </c>
      <c r="Q646" s="22" t="str">
        <f t="shared" si="162"/>
        <v>00</v>
      </c>
      <c r="R646" s="22">
        <f t="shared" si="161"/>
        <v>0</v>
      </c>
      <c r="S646" s="22" t="str">
        <f t="shared" si="163"/>
        <v>00</v>
      </c>
      <c r="T646" s="22">
        <f t="shared" si="159"/>
        <v>1900</v>
      </c>
      <c r="U646" s="22">
        <f t="shared" si="159"/>
        <v>1900</v>
      </c>
      <c r="W646" s="22" t="str">
        <f t="shared" si="164"/>
        <v>190000</v>
      </c>
      <c r="X646" s="22" t="str">
        <f t="shared" si="165"/>
        <v>190000</v>
      </c>
    </row>
    <row r="647" spans="2:24">
      <c r="B647" s="22"/>
      <c r="C647" s="22"/>
      <c r="E647" s="54"/>
      <c r="F647" s="77"/>
      <c r="G647" s="77"/>
      <c r="H647" s="78"/>
      <c r="I647" s="54"/>
      <c r="J647" s="39"/>
      <c r="K647" s="54"/>
      <c r="P647" s="22">
        <f t="shared" si="160"/>
        <v>0</v>
      </c>
      <c r="Q647" s="22" t="str">
        <f t="shared" si="162"/>
        <v>00</v>
      </c>
      <c r="R647" s="22">
        <f t="shared" si="161"/>
        <v>0</v>
      </c>
      <c r="S647" s="22" t="str">
        <f t="shared" si="163"/>
        <v>00</v>
      </c>
      <c r="T647" s="22">
        <f t="shared" si="159"/>
        <v>1900</v>
      </c>
      <c r="U647" s="22">
        <f t="shared" si="159"/>
        <v>1900</v>
      </c>
      <c r="W647" s="22" t="str">
        <f t="shared" si="164"/>
        <v>190000</v>
      </c>
      <c r="X647" s="22" t="str">
        <f t="shared" si="165"/>
        <v>190000</v>
      </c>
    </row>
    <row r="648" spans="2:24">
      <c r="B648" s="22"/>
      <c r="C648" s="22"/>
      <c r="E648" s="54"/>
      <c r="F648" s="77"/>
      <c r="G648" s="77"/>
      <c r="H648" s="78"/>
      <c r="I648" s="54"/>
      <c r="J648" s="39"/>
      <c r="K648" s="54"/>
      <c r="P648" s="22">
        <f t="shared" si="160"/>
        <v>0</v>
      </c>
      <c r="Q648" s="22" t="str">
        <f t="shared" si="162"/>
        <v>00</v>
      </c>
      <c r="R648" s="22">
        <f t="shared" si="161"/>
        <v>0</v>
      </c>
      <c r="S648" s="22" t="str">
        <f t="shared" si="163"/>
        <v>00</v>
      </c>
      <c r="T648" s="22">
        <f t="shared" si="159"/>
        <v>1900</v>
      </c>
      <c r="U648" s="22">
        <f t="shared" si="159"/>
        <v>1900</v>
      </c>
      <c r="W648" s="22" t="str">
        <f t="shared" si="164"/>
        <v>190000</v>
      </c>
      <c r="X648" s="22" t="str">
        <f t="shared" si="165"/>
        <v>190000</v>
      </c>
    </row>
    <row r="649" spans="2:24">
      <c r="B649" s="22"/>
      <c r="C649" s="22"/>
      <c r="E649" s="54"/>
      <c r="F649" s="77"/>
      <c r="G649" s="77"/>
      <c r="H649" s="78"/>
      <c r="I649" s="54"/>
      <c r="J649" s="39"/>
      <c r="K649" s="54"/>
      <c r="P649" s="22">
        <f t="shared" si="160"/>
        <v>0</v>
      </c>
      <c r="Q649" s="22" t="str">
        <f t="shared" si="162"/>
        <v>00</v>
      </c>
      <c r="R649" s="22">
        <f t="shared" si="161"/>
        <v>0</v>
      </c>
      <c r="S649" s="22" t="str">
        <f t="shared" si="163"/>
        <v>00</v>
      </c>
      <c r="T649" s="22">
        <f t="shared" si="159"/>
        <v>1900</v>
      </c>
      <c r="U649" s="22">
        <f t="shared" si="159"/>
        <v>1900</v>
      </c>
      <c r="W649" s="22" t="str">
        <f t="shared" si="164"/>
        <v>190000</v>
      </c>
      <c r="X649" s="22" t="str">
        <f t="shared" si="165"/>
        <v>190000</v>
      </c>
    </row>
    <row r="650" spans="2:24">
      <c r="B650" s="22"/>
      <c r="C650" s="22"/>
      <c r="E650" s="54"/>
      <c r="F650" s="77"/>
      <c r="G650" s="77"/>
      <c r="H650" s="78"/>
      <c r="I650" s="54"/>
      <c r="J650" s="39"/>
      <c r="K650" s="54"/>
      <c r="P650" s="22">
        <f t="shared" si="160"/>
        <v>0</v>
      </c>
      <c r="Q650" s="22" t="str">
        <f t="shared" si="162"/>
        <v>00</v>
      </c>
      <c r="R650" s="22">
        <f t="shared" si="161"/>
        <v>0</v>
      </c>
      <c r="S650" s="22" t="str">
        <f t="shared" si="163"/>
        <v>00</v>
      </c>
      <c r="T650" s="22">
        <f t="shared" si="159"/>
        <v>1900</v>
      </c>
      <c r="U650" s="22">
        <f t="shared" si="159"/>
        <v>1900</v>
      </c>
      <c r="W650" s="22" t="str">
        <f t="shared" si="164"/>
        <v>190000</v>
      </c>
      <c r="X650" s="22" t="str">
        <f t="shared" si="165"/>
        <v>190000</v>
      </c>
    </row>
    <row r="651" spans="2:24">
      <c r="B651" s="22"/>
      <c r="C651" s="22"/>
      <c r="E651" s="54"/>
      <c r="F651" s="77"/>
      <c r="G651" s="77"/>
      <c r="H651" s="78"/>
      <c r="I651" s="54"/>
      <c r="J651" s="39"/>
      <c r="K651" s="54"/>
      <c r="P651" s="22">
        <f t="shared" si="160"/>
        <v>0</v>
      </c>
      <c r="Q651" s="22" t="str">
        <f t="shared" si="162"/>
        <v>00</v>
      </c>
      <c r="R651" s="22">
        <f t="shared" si="161"/>
        <v>0</v>
      </c>
      <c r="S651" s="22" t="str">
        <f t="shared" si="163"/>
        <v>00</v>
      </c>
      <c r="T651" s="22">
        <f t="shared" si="159"/>
        <v>1900</v>
      </c>
      <c r="U651" s="22">
        <f t="shared" si="159"/>
        <v>1900</v>
      </c>
      <c r="W651" s="22" t="str">
        <f t="shared" si="164"/>
        <v>190000</v>
      </c>
      <c r="X651" s="22" t="str">
        <f t="shared" si="165"/>
        <v>190000</v>
      </c>
    </row>
    <row r="652" spans="2:24">
      <c r="B652" s="22"/>
      <c r="C652" s="22"/>
      <c r="E652" s="54"/>
      <c r="F652" s="77"/>
      <c r="G652" s="77"/>
      <c r="H652" s="78"/>
      <c r="I652" s="54"/>
      <c r="J652" s="39"/>
      <c r="K652" s="54"/>
      <c r="P652" s="22">
        <f t="shared" si="160"/>
        <v>0</v>
      </c>
      <c r="Q652" s="22" t="str">
        <f t="shared" si="162"/>
        <v>00</v>
      </c>
      <c r="R652" s="22">
        <f t="shared" si="161"/>
        <v>0</v>
      </c>
      <c r="S652" s="22" t="str">
        <f t="shared" si="163"/>
        <v>00</v>
      </c>
      <c r="T652" s="22">
        <f t="shared" si="159"/>
        <v>1900</v>
      </c>
      <c r="U652" s="22">
        <f t="shared" si="159"/>
        <v>1900</v>
      </c>
      <c r="W652" s="22" t="str">
        <f t="shared" si="164"/>
        <v>190000</v>
      </c>
      <c r="X652" s="22" t="str">
        <f t="shared" si="165"/>
        <v>190000</v>
      </c>
    </row>
    <row r="653" spans="2:24">
      <c r="B653" s="22"/>
      <c r="C653" s="22"/>
      <c r="E653" s="54"/>
      <c r="F653" s="77"/>
      <c r="G653" s="77"/>
      <c r="H653" s="78"/>
      <c r="I653" s="54"/>
      <c r="J653" s="39"/>
      <c r="K653" s="54"/>
      <c r="P653" s="22">
        <f t="shared" si="160"/>
        <v>0</v>
      </c>
      <c r="Q653" s="22" t="str">
        <f t="shared" si="162"/>
        <v>00</v>
      </c>
      <c r="R653" s="22">
        <f t="shared" si="161"/>
        <v>0</v>
      </c>
      <c r="S653" s="22" t="str">
        <f t="shared" si="163"/>
        <v>00</v>
      </c>
      <c r="T653" s="22">
        <f t="shared" si="159"/>
        <v>1900</v>
      </c>
      <c r="U653" s="22">
        <f t="shared" si="159"/>
        <v>1900</v>
      </c>
      <c r="W653" s="22" t="str">
        <f t="shared" si="164"/>
        <v>190000</v>
      </c>
      <c r="X653" s="22" t="str">
        <f t="shared" si="165"/>
        <v>190000</v>
      </c>
    </row>
    <row r="654" spans="2:24">
      <c r="B654" s="22"/>
      <c r="C654" s="22"/>
      <c r="E654" s="54"/>
      <c r="F654" s="77"/>
      <c r="G654" s="77"/>
      <c r="H654" s="78"/>
      <c r="I654" s="54"/>
      <c r="J654" s="39"/>
      <c r="K654" s="54"/>
      <c r="P654" s="22">
        <f t="shared" si="160"/>
        <v>0</v>
      </c>
      <c r="Q654" s="22" t="str">
        <f t="shared" si="162"/>
        <v>00</v>
      </c>
      <c r="R654" s="22">
        <f t="shared" si="161"/>
        <v>0</v>
      </c>
      <c r="S654" s="22" t="str">
        <f t="shared" si="163"/>
        <v>00</v>
      </c>
      <c r="T654" s="22">
        <f t="shared" si="159"/>
        <v>1900</v>
      </c>
      <c r="U654" s="22">
        <f t="shared" si="159"/>
        <v>1900</v>
      </c>
      <c r="W654" s="22" t="str">
        <f t="shared" si="164"/>
        <v>190000</v>
      </c>
      <c r="X654" s="22" t="str">
        <f t="shared" si="165"/>
        <v>190000</v>
      </c>
    </row>
    <row r="655" spans="2:24">
      <c r="B655" s="22"/>
      <c r="C655" s="22"/>
      <c r="E655" s="54"/>
      <c r="F655" s="77"/>
      <c r="G655" s="77"/>
      <c r="H655" s="78"/>
      <c r="I655" s="54"/>
      <c r="J655" s="39"/>
      <c r="K655" s="54"/>
      <c r="P655" s="22">
        <f t="shared" si="160"/>
        <v>0</v>
      </c>
      <c r="Q655" s="22" t="str">
        <f t="shared" si="162"/>
        <v>00</v>
      </c>
      <c r="R655" s="22">
        <f t="shared" si="161"/>
        <v>0</v>
      </c>
      <c r="S655" s="22" t="str">
        <f t="shared" si="163"/>
        <v>00</v>
      </c>
      <c r="T655" s="22">
        <f t="shared" si="159"/>
        <v>1900</v>
      </c>
      <c r="U655" s="22">
        <f t="shared" si="159"/>
        <v>1900</v>
      </c>
      <c r="W655" s="22" t="str">
        <f t="shared" si="164"/>
        <v>190000</v>
      </c>
      <c r="X655" s="22" t="str">
        <f t="shared" si="165"/>
        <v>190000</v>
      </c>
    </row>
    <row r="656" spans="2:24">
      <c r="B656" s="22"/>
      <c r="C656" s="22"/>
      <c r="E656" s="54"/>
      <c r="F656" s="77"/>
      <c r="G656" s="77"/>
      <c r="H656" s="78"/>
      <c r="I656" s="54"/>
      <c r="J656" s="39"/>
      <c r="K656" s="54"/>
      <c r="P656" s="22">
        <f t="shared" si="160"/>
        <v>0</v>
      </c>
      <c r="Q656" s="22" t="str">
        <f t="shared" si="162"/>
        <v>00</v>
      </c>
      <c r="R656" s="22">
        <f t="shared" si="161"/>
        <v>0</v>
      </c>
      <c r="S656" s="22" t="str">
        <f t="shared" si="163"/>
        <v>00</v>
      </c>
      <c r="T656" s="22">
        <f t="shared" si="159"/>
        <v>1900</v>
      </c>
      <c r="U656" s="22">
        <f t="shared" si="159"/>
        <v>1900</v>
      </c>
      <c r="W656" s="22" t="str">
        <f t="shared" si="164"/>
        <v>190000</v>
      </c>
      <c r="X656" s="22" t="str">
        <f t="shared" si="165"/>
        <v>190000</v>
      </c>
    </row>
    <row r="657" spans="2:24">
      <c r="B657" s="22"/>
      <c r="C657" s="22"/>
      <c r="E657" s="54"/>
      <c r="F657" s="77"/>
      <c r="G657" s="77"/>
      <c r="H657" s="78"/>
      <c r="I657" s="54"/>
      <c r="J657" s="39"/>
      <c r="K657" s="54"/>
      <c r="P657" s="22">
        <f t="shared" si="160"/>
        <v>0</v>
      </c>
      <c r="Q657" s="22" t="str">
        <f t="shared" si="162"/>
        <v>00</v>
      </c>
      <c r="R657" s="22">
        <f t="shared" si="161"/>
        <v>0</v>
      </c>
      <c r="S657" s="22" t="str">
        <f t="shared" si="163"/>
        <v>00</v>
      </c>
      <c r="T657" s="22">
        <f t="shared" si="159"/>
        <v>1900</v>
      </c>
      <c r="U657" s="22">
        <f t="shared" si="159"/>
        <v>1900</v>
      </c>
      <c r="W657" s="22" t="str">
        <f t="shared" si="164"/>
        <v>190000</v>
      </c>
      <c r="X657" s="22" t="str">
        <f t="shared" si="165"/>
        <v>190000</v>
      </c>
    </row>
    <row r="658" spans="2:24">
      <c r="B658" s="22"/>
      <c r="C658" s="22"/>
      <c r="E658" s="54"/>
      <c r="F658" s="77"/>
      <c r="G658" s="77"/>
      <c r="H658" s="78"/>
      <c r="I658" s="54"/>
      <c r="J658" s="39"/>
      <c r="K658" s="54"/>
      <c r="P658" s="22">
        <f t="shared" si="160"/>
        <v>0</v>
      </c>
      <c r="Q658" s="22" t="str">
        <f t="shared" si="162"/>
        <v>00</v>
      </c>
      <c r="R658" s="22">
        <f t="shared" si="161"/>
        <v>0</v>
      </c>
      <c r="S658" s="22" t="str">
        <f t="shared" si="163"/>
        <v>00</v>
      </c>
      <c r="T658" s="22">
        <f t="shared" si="159"/>
        <v>1900</v>
      </c>
      <c r="U658" s="22">
        <f t="shared" si="159"/>
        <v>1900</v>
      </c>
      <c r="W658" s="22" t="str">
        <f t="shared" si="164"/>
        <v>190000</v>
      </c>
      <c r="X658" s="22" t="str">
        <f t="shared" si="165"/>
        <v>190000</v>
      </c>
    </row>
    <row r="659" spans="2:24">
      <c r="B659" s="22"/>
      <c r="C659" s="22"/>
      <c r="E659" s="54"/>
      <c r="F659" s="77"/>
      <c r="G659" s="77"/>
      <c r="H659" s="78"/>
      <c r="I659" s="54"/>
      <c r="J659" s="39"/>
      <c r="K659" s="54"/>
      <c r="P659" s="22">
        <f t="shared" si="160"/>
        <v>0</v>
      </c>
      <c r="Q659" s="22" t="str">
        <f t="shared" si="162"/>
        <v>00</v>
      </c>
      <c r="R659" s="22">
        <f t="shared" si="161"/>
        <v>0</v>
      </c>
      <c r="S659" s="22" t="str">
        <f t="shared" si="163"/>
        <v>00</v>
      </c>
      <c r="T659" s="22">
        <f t="shared" si="159"/>
        <v>1900</v>
      </c>
      <c r="U659" s="22">
        <f t="shared" si="159"/>
        <v>1900</v>
      </c>
      <c r="W659" s="22" t="str">
        <f t="shared" si="164"/>
        <v>190000</v>
      </c>
      <c r="X659" s="22" t="str">
        <f t="shared" si="165"/>
        <v>190000</v>
      </c>
    </row>
    <row r="660" spans="2:24">
      <c r="B660" s="22"/>
      <c r="C660" s="22"/>
      <c r="E660" s="54"/>
      <c r="F660" s="77"/>
      <c r="G660" s="77"/>
      <c r="H660" s="78"/>
      <c r="I660" s="54"/>
      <c r="J660" s="39"/>
      <c r="K660" s="54"/>
      <c r="P660" s="22">
        <f t="shared" si="160"/>
        <v>0</v>
      </c>
      <c r="Q660" s="22" t="str">
        <f t="shared" si="162"/>
        <v>00</v>
      </c>
      <c r="R660" s="22">
        <f t="shared" si="161"/>
        <v>0</v>
      </c>
      <c r="S660" s="22" t="str">
        <f t="shared" si="163"/>
        <v>00</v>
      </c>
      <c r="T660" s="22">
        <f t="shared" ref="T660:U696" si="166">YEAR(F660)</f>
        <v>1900</v>
      </c>
      <c r="U660" s="22">
        <f t="shared" si="166"/>
        <v>1900</v>
      </c>
      <c r="W660" s="22" t="str">
        <f t="shared" si="164"/>
        <v>190000</v>
      </c>
      <c r="X660" s="22" t="str">
        <f t="shared" si="165"/>
        <v>190000</v>
      </c>
    </row>
    <row r="661" spans="2:24">
      <c r="B661" s="22"/>
      <c r="C661" s="22"/>
      <c r="E661" s="54"/>
      <c r="F661" s="77"/>
      <c r="G661" s="77"/>
      <c r="H661" s="78"/>
      <c r="I661" s="54"/>
      <c r="J661" s="39"/>
      <c r="K661" s="54"/>
      <c r="P661" s="22">
        <f t="shared" si="160"/>
        <v>0</v>
      </c>
      <c r="Q661" s="22" t="str">
        <f t="shared" si="162"/>
        <v>00</v>
      </c>
      <c r="R661" s="22">
        <f t="shared" si="161"/>
        <v>0</v>
      </c>
      <c r="S661" s="22" t="str">
        <f t="shared" si="163"/>
        <v>00</v>
      </c>
      <c r="T661" s="22">
        <f t="shared" si="166"/>
        <v>1900</v>
      </c>
      <c r="U661" s="22">
        <f t="shared" si="166"/>
        <v>1900</v>
      </c>
      <c r="W661" s="22" t="str">
        <f t="shared" si="164"/>
        <v>190000</v>
      </c>
      <c r="X661" s="22" t="str">
        <f t="shared" si="165"/>
        <v>190000</v>
      </c>
    </row>
    <row r="662" spans="2:24">
      <c r="B662" s="22"/>
      <c r="C662" s="22"/>
      <c r="E662" s="54"/>
      <c r="F662" s="77"/>
      <c r="G662" s="77"/>
      <c r="H662" s="78"/>
      <c r="I662" s="54"/>
      <c r="J662" s="39"/>
      <c r="K662" s="54"/>
      <c r="P662" s="22">
        <f t="shared" si="160"/>
        <v>0</v>
      </c>
      <c r="Q662" s="22" t="str">
        <f t="shared" si="162"/>
        <v>00</v>
      </c>
      <c r="R662" s="22">
        <f t="shared" si="161"/>
        <v>0</v>
      </c>
      <c r="S662" s="22" t="str">
        <f t="shared" si="163"/>
        <v>00</v>
      </c>
      <c r="T662" s="22">
        <f t="shared" si="166"/>
        <v>1900</v>
      </c>
      <c r="U662" s="22">
        <f t="shared" si="166"/>
        <v>1900</v>
      </c>
      <c r="W662" s="22" t="str">
        <f t="shared" si="164"/>
        <v>190000</v>
      </c>
      <c r="X662" s="22" t="str">
        <f t="shared" si="165"/>
        <v>190000</v>
      </c>
    </row>
    <row r="663" spans="2:24">
      <c r="B663" s="22"/>
      <c r="C663" s="22"/>
      <c r="E663" s="54"/>
      <c r="F663" s="77"/>
      <c r="G663" s="77"/>
      <c r="H663" s="78"/>
      <c r="I663" s="54"/>
      <c r="J663" s="39"/>
      <c r="K663" s="54"/>
      <c r="P663" s="22">
        <f t="shared" si="160"/>
        <v>0</v>
      </c>
      <c r="Q663" s="22" t="str">
        <f t="shared" si="162"/>
        <v>00</v>
      </c>
      <c r="R663" s="22">
        <f t="shared" si="161"/>
        <v>0</v>
      </c>
      <c r="S663" s="22" t="str">
        <f t="shared" si="163"/>
        <v>00</v>
      </c>
      <c r="T663" s="22">
        <f t="shared" si="166"/>
        <v>1900</v>
      </c>
      <c r="U663" s="22">
        <f t="shared" si="166"/>
        <v>1900</v>
      </c>
      <c r="W663" s="22" t="str">
        <f t="shared" si="164"/>
        <v>190000</v>
      </c>
      <c r="X663" s="22" t="str">
        <f t="shared" si="165"/>
        <v>190000</v>
      </c>
    </row>
    <row r="664" spans="2:24">
      <c r="B664" s="22"/>
      <c r="C664" s="22"/>
      <c r="E664" s="54"/>
      <c r="F664" s="77"/>
      <c r="G664" s="77"/>
      <c r="H664" s="78"/>
      <c r="I664" s="54"/>
      <c r="J664" s="39"/>
      <c r="K664" s="54"/>
      <c r="P664" s="22">
        <f t="shared" si="160"/>
        <v>0</v>
      </c>
      <c r="Q664" s="22" t="str">
        <f t="shared" si="162"/>
        <v>00</v>
      </c>
      <c r="R664" s="22">
        <f t="shared" si="161"/>
        <v>0</v>
      </c>
      <c r="S664" s="22" t="str">
        <f t="shared" si="163"/>
        <v>00</v>
      </c>
      <c r="T664" s="22">
        <f t="shared" si="166"/>
        <v>1900</v>
      </c>
      <c r="U664" s="22">
        <f t="shared" si="166"/>
        <v>1900</v>
      </c>
      <c r="W664" s="22" t="str">
        <f t="shared" si="164"/>
        <v>190000</v>
      </c>
      <c r="X664" s="22" t="str">
        <f t="shared" si="165"/>
        <v>190000</v>
      </c>
    </row>
    <row r="665" spans="2:24">
      <c r="B665" s="22"/>
      <c r="C665" s="22"/>
      <c r="E665" s="54"/>
      <c r="F665" s="77"/>
      <c r="G665" s="77"/>
      <c r="H665" s="78"/>
      <c r="I665" s="54"/>
      <c r="J665" s="39"/>
      <c r="K665" s="54"/>
      <c r="P665" s="22">
        <f t="shared" si="160"/>
        <v>0</v>
      </c>
      <c r="Q665" s="22" t="str">
        <f t="shared" si="162"/>
        <v>00</v>
      </c>
      <c r="R665" s="22">
        <f t="shared" si="161"/>
        <v>0</v>
      </c>
      <c r="S665" s="22" t="str">
        <f t="shared" si="163"/>
        <v>00</v>
      </c>
      <c r="T665" s="22">
        <f t="shared" si="166"/>
        <v>1900</v>
      </c>
      <c r="U665" s="22">
        <f t="shared" si="166"/>
        <v>1900</v>
      </c>
      <c r="W665" s="22" t="str">
        <f t="shared" si="164"/>
        <v>190000</v>
      </c>
      <c r="X665" s="22" t="str">
        <f t="shared" si="165"/>
        <v>190000</v>
      </c>
    </row>
    <row r="666" spans="2:24">
      <c r="B666" s="22"/>
      <c r="C666" s="22"/>
      <c r="E666" s="54"/>
      <c r="F666" s="77"/>
      <c r="G666" s="77"/>
      <c r="H666" s="78"/>
      <c r="I666" s="54"/>
      <c r="J666" s="39"/>
      <c r="K666" s="54"/>
      <c r="P666" s="22">
        <f t="shared" si="160"/>
        <v>0</v>
      </c>
      <c r="Q666" s="22" t="str">
        <f t="shared" si="162"/>
        <v>00</v>
      </c>
      <c r="R666" s="22">
        <f t="shared" si="161"/>
        <v>0</v>
      </c>
      <c r="S666" s="22" t="str">
        <f t="shared" si="163"/>
        <v>00</v>
      </c>
      <c r="T666" s="22">
        <f t="shared" si="166"/>
        <v>1900</v>
      </c>
      <c r="U666" s="22">
        <f t="shared" si="166"/>
        <v>1900</v>
      </c>
      <c r="W666" s="22" t="str">
        <f t="shared" si="164"/>
        <v>190000</v>
      </c>
      <c r="X666" s="22" t="str">
        <f t="shared" si="165"/>
        <v>190000</v>
      </c>
    </row>
    <row r="667" spans="2:24">
      <c r="B667" s="22"/>
      <c r="C667" s="22"/>
      <c r="E667" s="54"/>
      <c r="F667" s="77"/>
      <c r="G667" s="77"/>
      <c r="H667" s="78"/>
      <c r="I667" s="54"/>
      <c r="J667" s="39"/>
      <c r="K667" s="54"/>
      <c r="P667" s="22">
        <f t="shared" si="160"/>
        <v>0</v>
      </c>
      <c r="Q667" s="22" t="str">
        <f t="shared" si="162"/>
        <v>00</v>
      </c>
      <c r="R667" s="22">
        <f t="shared" si="161"/>
        <v>0</v>
      </c>
      <c r="S667" s="22" t="str">
        <f t="shared" si="163"/>
        <v>00</v>
      </c>
      <c r="T667" s="22">
        <f t="shared" si="166"/>
        <v>1900</v>
      </c>
      <c r="U667" s="22">
        <f t="shared" si="166"/>
        <v>1900</v>
      </c>
      <c r="W667" s="22" t="str">
        <f t="shared" si="164"/>
        <v>190000</v>
      </c>
      <c r="X667" s="22" t="str">
        <f t="shared" si="165"/>
        <v>190000</v>
      </c>
    </row>
    <row r="668" spans="2:24">
      <c r="B668" s="22"/>
      <c r="C668" s="22"/>
      <c r="E668" s="54"/>
      <c r="F668" s="77"/>
      <c r="G668" s="77"/>
      <c r="H668" s="78"/>
      <c r="I668" s="54"/>
      <c r="J668" s="39"/>
      <c r="K668" s="54"/>
      <c r="P668" s="22">
        <f t="shared" si="160"/>
        <v>0</v>
      </c>
      <c r="Q668" s="22" t="str">
        <f t="shared" si="162"/>
        <v>00</v>
      </c>
      <c r="R668" s="22">
        <f t="shared" si="161"/>
        <v>0</v>
      </c>
      <c r="S668" s="22" t="str">
        <f t="shared" si="163"/>
        <v>00</v>
      </c>
      <c r="T668" s="22">
        <f t="shared" si="166"/>
        <v>1900</v>
      </c>
      <c r="U668" s="22">
        <f t="shared" si="166"/>
        <v>1900</v>
      </c>
      <c r="W668" s="22" t="str">
        <f t="shared" si="164"/>
        <v>190000</v>
      </c>
      <c r="X668" s="22" t="str">
        <f t="shared" si="165"/>
        <v>190000</v>
      </c>
    </row>
    <row r="669" spans="2:24">
      <c r="B669" s="22"/>
      <c r="C669" s="22"/>
      <c r="E669" s="54"/>
      <c r="F669" s="77"/>
      <c r="G669" s="77"/>
      <c r="H669" s="78"/>
      <c r="I669" s="54"/>
      <c r="J669" s="39"/>
      <c r="K669" s="54"/>
      <c r="P669" s="22">
        <f t="shared" si="160"/>
        <v>0</v>
      </c>
      <c r="Q669" s="22" t="str">
        <f t="shared" si="162"/>
        <v>00</v>
      </c>
      <c r="R669" s="22">
        <f t="shared" si="161"/>
        <v>0</v>
      </c>
      <c r="S669" s="22" t="str">
        <f t="shared" si="163"/>
        <v>00</v>
      </c>
      <c r="T669" s="22">
        <f t="shared" si="166"/>
        <v>1900</v>
      </c>
      <c r="U669" s="22">
        <f t="shared" si="166"/>
        <v>1900</v>
      </c>
      <c r="W669" s="22" t="str">
        <f t="shared" si="164"/>
        <v>190000</v>
      </c>
      <c r="X669" s="22" t="str">
        <f t="shared" si="165"/>
        <v>190000</v>
      </c>
    </row>
    <row r="670" spans="2:24">
      <c r="B670" s="22"/>
      <c r="C670" s="22"/>
      <c r="E670" s="54"/>
      <c r="F670" s="77"/>
      <c r="G670" s="77"/>
      <c r="H670" s="78"/>
      <c r="I670" s="54"/>
      <c r="J670" s="39"/>
      <c r="K670" s="54"/>
      <c r="P670" s="22">
        <f t="shared" si="160"/>
        <v>0</v>
      </c>
      <c r="Q670" s="22" t="str">
        <f t="shared" si="162"/>
        <v>00</v>
      </c>
      <c r="R670" s="22">
        <f t="shared" si="161"/>
        <v>0</v>
      </c>
      <c r="S670" s="22" t="str">
        <f t="shared" si="163"/>
        <v>00</v>
      </c>
      <c r="T670" s="22">
        <f t="shared" si="166"/>
        <v>1900</v>
      </c>
      <c r="U670" s="22">
        <f t="shared" si="166"/>
        <v>1900</v>
      </c>
      <c r="W670" s="22" t="str">
        <f t="shared" si="164"/>
        <v>190000</v>
      </c>
      <c r="X670" s="22" t="str">
        <f t="shared" si="165"/>
        <v>190000</v>
      </c>
    </row>
    <row r="671" spans="2:24">
      <c r="B671" s="22"/>
      <c r="C671" s="22"/>
      <c r="E671" s="54"/>
      <c r="F671" s="77"/>
      <c r="G671" s="77"/>
      <c r="H671" s="78"/>
      <c r="I671" s="54"/>
      <c r="J671" s="39"/>
      <c r="K671" s="54"/>
      <c r="P671" s="22">
        <f t="shared" si="160"/>
        <v>0</v>
      </c>
      <c r="Q671" s="22" t="str">
        <f t="shared" si="162"/>
        <v>00</v>
      </c>
      <c r="R671" s="22">
        <f t="shared" si="161"/>
        <v>0</v>
      </c>
      <c r="S671" s="22" t="str">
        <f t="shared" si="163"/>
        <v>00</v>
      </c>
      <c r="T671" s="22">
        <f t="shared" si="166"/>
        <v>1900</v>
      </c>
      <c r="U671" s="22">
        <f t="shared" si="166"/>
        <v>1900</v>
      </c>
      <c r="W671" s="22" t="str">
        <f t="shared" si="164"/>
        <v>190000</v>
      </c>
      <c r="X671" s="22" t="str">
        <f t="shared" si="165"/>
        <v>190000</v>
      </c>
    </row>
    <row r="672" spans="2:24">
      <c r="B672" s="22"/>
      <c r="C672" s="22"/>
      <c r="E672" s="54"/>
      <c r="F672" s="77"/>
      <c r="G672" s="77"/>
      <c r="H672" s="78"/>
      <c r="I672" s="54"/>
      <c r="J672" s="39"/>
      <c r="K672" s="54"/>
      <c r="P672" s="22">
        <f t="shared" si="160"/>
        <v>0</v>
      </c>
      <c r="Q672" s="22" t="str">
        <f t="shared" si="162"/>
        <v>00</v>
      </c>
      <c r="R672" s="22">
        <f t="shared" si="161"/>
        <v>0</v>
      </c>
      <c r="S672" s="22" t="str">
        <f t="shared" si="163"/>
        <v>00</v>
      </c>
      <c r="T672" s="22">
        <f t="shared" si="166"/>
        <v>1900</v>
      </c>
      <c r="U672" s="22">
        <f t="shared" si="166"/>
        <v>1900</v>
      </c>
      <c r="W672" s="22" t="str">
        <f t="shared" si="164"/>
        <v>190000</v>
      </c>
      <c r="X672" s="22" t="str">
        <f t="shared" si="165"/>
        <v>190000</v>
      </c>
    </row>
    <row r="673" spans="2:24">
      <c r="B673" s="22"/>
      <c r="C673" s="22"/>
      <c r="E673" s="54"/>
      <c r="F673" s="77"/>
      <c r="G673" s="77"/>
      <c r="H673" s="78"/>
      <c r="I673" s="54"/>
      <c r="J673" s="39"/>
      <c r="K673" s="54"/>
      <c r="P673" s="22">
        <f t="shared" si="160"/>
        <v>0</v>
      </c>
      <c r="Q673" s="22" t="str">
        <f t="shared" si="162"/>
        <v>00</v>
      </c>
      <c r="R673" s="22">
        <f t="shared" si="161"/>
        <v>0</v>
      </c>
      <c r="S673" s="22" t="str">
        <f t="shared" si="163"/>
        <v>00</v>
      </c>
      <c r="T673" s="22">
        <f t="shared" si="166"/>
        <v>1900</v>
      </c>
      <c r="U673" s="22">
        <f t="shared" si="166"/>
        <v>1900</v>
      </c>
      <c r="W673" s="22" t="str">
        <f t="shared" si="164"/>
        <v>190000</v>
      </c>
      <c r="X673" s="22" t="str">
        <f t="shared" si="165"/>
        <v>190000</v>
      </c>
    </row>
    <row r="674" spans="2:24">
      <c r="B674" s="22"/>
      <c r="C674" s="22"/>
      <c r="E674" s="54"/>
      <c r="F674" s="77"/>
      <c r="G674" s="77"/>
      <c r="H674" s="78"/>
      <c r="I674" s="54"/>
      <c r="J674" s="39"/>
      <c r="K674" s="54"/>
      <c r="P674" s="22">
        <f t="shared" si="160"/>
        <v>0</v>
      </c>
      <c r="Q674" s="22" t="str">
        <f t="shared" si="162"/>
        <v>00</v>
      </c>
      <c r="R674" s="22">
        <f t="shared" si="161"/>
        <v>0</v>
      </c>
      <c r="S674" s="22" t="str">
        <f t="shared" si="163"/>
        <v>00</v>
      </c>
      <c r="T674" s="22">
        <f t="shared" si="166"/>
        <v>1900</v>
      </c>
      <c r="U674" s="22">
        <f t="shared" si="166"/>
        <v>1900</v>
      </c>
      <c r="W674" s="22" t="str">
        <f t="shared" si="164"/>
        <v>190000</v>
      </c>
      <c r="X674" s="22" t="str">
        <f t="shared" si="165"/>
        <v>190000</v>
      </c>
    </row>
    <row r="675" spans="2:24">
      <c r="B675" s="22"/>
      <c r="C675" s="22"/>
      <c r="E675" s="54"/>
      <c r="F675" s="77"/>
      <c r="G675" s="77"/>
      <c r="H675" s="78"/>
      <c r="I675" s="54"/>
      <c r="J675" s="39"/>
      <c r="K675" s="54"/>
      <c r="P675" s="22">
        <f t="shared" si="160"/>
        <v>0</v>
      </c>
      <c r="Q675" s="22" t="str">
        <f t="shared" si="162"/>
        <v>00</v>
      </c>
      <c r="R675" s="22">
        <f t="shared" si="161"/>
        <v>0</v>
      </c>
      <c r="S675" s="22" t="str">
        <f t="shared" si="163"/>
        <v>00</v>
      </c>
      <c r="T675" s="22">
        <f t="shared" si="166"/>
        <v>1900</v>
      </c>
      <c r="U675" s="22">
        <f t="shared" si="166"/>
        <v>1900</v>
      </c>
      <c r="W675" s="22" t="str">
        <f t="shared" si="164"/>
        <v>190000</v>
      </c>
      <c r="X675" s="22" t="str">
        <f t="shared" si="165"/>
        <v>190000</v>
      </c>
    </row>
    <row r="676" spans="2:24">
      <c r="B676" s="22"/>
      <c r="C676" s="22"/>
      <c r="E676" s="54"/>
      <c r="F676" s="77"/>
      <c r="G676" s="77"/>
      <c r="H676" s="78"/>
      <c r="I676" s="54"/>
      <c r="J676" s="39"/>
      <c r="K676" s="54"/>
      <c r="P676" s="22">
        <f t="shared" si="160"/>
        <v>0</v>
      </c>
      <c r="Q676" s="22" t="str">
        <f t="shared" si="162"/>
        <v>00</v>
      </c>
      <c r="R676" s="22">
        <f t="shared" si="161"/>
        <v>0</v>
      </c>
      <c r="S676" s="22" t="str">
        <f t="shared" si="163"/>
        <v>00</v>
      </c>
      <c r="T676" s="22">
        <f t="shared" si="166"/>
        <v>1900</v>
      </c>
      <c r="U676" s="22">
        <f t="shared" si="166"/>
        <v>1900</v>
      </c>
      <c r="W676" s="22" t="str">
        <f t="shared" si="164"/>
        <v>190000</v>
      </c>
      <c r="X676" s="22" t="str">
        <f t="shared" si="165"/>
        <v>190000</v>
      </c>
    </row>
    <row r="677" spans="2:24">
      <c r="B677" s="22"/>
      <c r="C677" s="22"/>
      <c r="E677" s="54"/>
      <c r="F677" s="77"/>
      <c r="G677" s="77"/>
      <c r="H677" s="78"/>
      <c r="I677" s="54"/>
      <c r="J677" s="39"/>
      <c r="K677" s="54"/>
      <c r="P677" s="22">
        <f t="shared" si="160"/>
        <v>0</v>
      </c>
      <c r="Q677" s="22" t="str">
        <f t="shared" si="162"/>
        <v>00</v>
      </c>
      <c r="R677" s="22">
        <f t="shared" si="161"/>
        <v>0</v>
      </c>
      <c r="S677" s="22" t="str">
        <f t="shared" si="163"/>
        <v>00</v>
      </c>
      <c r="T677" s="22">
        <f t="shared" si="166"/>
        <v>1900</v>
      </c>
      <c r="U677" s="22">
        <f t="shared" si="166"/>
        <v>1900</v>
      </c>
      <c r="W677" s="22" t="str">
        <f t="shared" si="164"/>
        <v>190000</v>
      </c>
      <c r="X677" s="22" t="str">
        <f t="shared" si="165"/>
        <v>190000</v>
      </c>
    </row>
    <row r="678" spans="2:24">
      <c r="B678" s="22"/>
      <c r="C678" s="22"/>
      <c r="E678" s="54"/>
      <c r="F678" s="77"/>
      <c r="G678" s="77"/>
      <c r="H678" s="78"/>
      <c r="I678" s="54"/>
      <c r="J678" s="39"/>
      <c r="K678" s="54"/>
      <c r="P678" s="22">
        <f t="shared" si="160"/>
        <v>0</v>
      </c>
      <c r="Q678" s="22" t="str">
        <f t="shared" si="162"/>
        <v>00</v>
      </c>
      <c r="R678" s="22">
        <f t="shared" si="161"/>
        <v>0</v>
      </c>
      <c r="S678" s="22" t="str">
        <f t="shared" si="163"/>
        <v>00</v>
      </c>
      <c r="T678" s="22">
        <f t="shared" si="166"/>
        <v>1900</v>
      </c>
      <c r="U678" s="22">
        <f t="shared" si="166"/>
        <v>1900</v>
      </c>
      <c r="W678" s="22" t="str">
        <f t="shared" si="164"/>
        <v>190000</v>
      </c>
      <c r="X678" s="22" t="str">
        <f t="shared" si="165"/>
        <v>190000</v>
      </c>
    </row>
    <row r="679" spans="2:24">
      <c r="B679" s="22"/>
      <c r="C679" s="22"/>
      <c r="E679" s="54"/>
      <c r="F679" s="77"/>
      <c r="G679" s="77"/>
      <c r="H679" s="78"/>
      <c r="I679" s="54"/>
      <c r="J679" s="39"/>
      <c r="K679" s="54"/>
      <c r="P679" s="22">
        <f t="shared" si="160"/>
        <v>0</v>
      </c>
      <c r="Q679" s="22" t="str">
        <f t="shared" si="162"/>
        <v>00</v>
      </c>
      <c r="R679" s="22">
        <f t="shared" si="161"/>
        <v>0</v>
      </c>
      <c r="S679" s="22" t="str">
        <f t="shared" si="163"/>
        <v>00</v>
      </c>
      <c r="T679" s="22">
        <f t="shared" si="166"/>
        <v>1900</v>
      </c>
      <c r="U679" s="22">
        <f t="shared" si="166"/>
        <v>1900</v>
      </c>
      <c r="W679" s="22" t="str">
        <f t="shared" si="164"/>
        <v>190000</v>
      </c>
      <c r="X679" s="22" t="str">
        <f t="shared" si="165"/>
        <v>190000</v>
      </c>
    </row>
    <row r="680" spans="2:24">
      <c r="B680" s="22"/>
      <c r="C680" s="22"/>
      <c r="E680" s="54"/>
      <c r="F680" s="77"/>
      <c r="G680" s="77"/>
      <c r="H680" s="78"/>
      <c r="I680" s="54"/>
      <c r="J680" s="39"/>
      <c r="K680" s="54"/>
      <c r="P680" s="22">
        <f t="shared" si="160"/>
        <v>0</v>
      </c>
      <c r="Q680" s="22" t="str">
        <f t="shared" si="162"/>
        <v>00</v>
      </c>
      <c r="R680" s="22">
        <f t="shared" si="161"/>
        <v>0</v>
      </c>
      <c r="S680" s="22" t="str">
        <f t="shared" si="163"/>
        <v>00</v>
      </c>
      <c r="T680" s="22">
        <f t="shared" si="166"/>
        <v>1900</v>
      </c>
      <c r="U680" s="22">
        <f t="shared" si="166"/>
        <v>1900</v>
      </c>
      <c r="W680" s="22" t="str">
        <f t="shared" si="164"/>
        <v>190000</v>
      </c>
      <c r="X680" s="22" t="str">
        <f t="shared" si="165"/>
        <v>190000</v>
      </c>
    </row>
    <row r="681" spans="2:24">
      <c r="B681" s="22"/>
      <c r="C681" s="22"/>
      <c r="E681" s="54"/>
      <c r="F681" s="77"/>
      <c r="G681" s="77"/>
      <c r="H681" s="78"/>
      <c r="I681" s="54"/>
      <c r="J681" s="39"/>
      <c r="K681" s="54"/>
      <c r="P681" s="22">
        <f t="shared" si="160"/>
        <v>0</v>
      </c>
      <c r="Q681" s="22" t="str">
        <f t="shared" si="162"/>
        <v>00</v>
      </c>
      <c r="R681" s="22">
        <f t="shared" si="161"/>
        <v>0</v>
      </c>
      <c r="S681" s="22" t="str">
        <f t="shared" si="163"/>
        <v>00</v>
      </c>
      <c r="T681" s="22">
        <f t="shared" si="166"/>
        <v>1900</v>
      </c>
      <c r="U681" s="22">
        <f t="shared" si="166"/>
        <v>1900</v>
      </c>
      <c r="W681" s="22" t="str">
        <f t="shared" si="164"/>
        <v>190000</v>
      </c>
      <c r="X681" s="22" t="str">
        <f t="shared" si="165"/>
        <v>190000</v>
      </c>
    </row>
    <row r="682" spans="2:24">
      <c r="B682" s="22"/>
      <c r="C682" s="22"/>
      <c r="E682" s="54"/>
      <c r="F682" s="77"/>
      <c r="G682" s="77"/>
      <c r="H682" s="78"/>
      <c r="I682" s="54"/>
      <c r="J682" s="39"/>
      <c r="K682" s="54"/>
      <c r="P682" s="22">
        <f t="shared" si="160"/>
        <v>0</v>
      </c>
      <c r="Q682" s="22" t="str">
        <f t="shared" si="162"/>
        <v>00</v>
      </c>
      <c r="R682" s="22">
        <f t="shared" si="161"/>
        <v>0</v>
      </c>
      <c r="S682" s="22" t="str">
        <f t="shared" si="163"/>
        <v>00</v>
      </c>
      <c r="T682" s="22">
        <f t="shared" si="166"/>
        <v>1900</v>
      </c>
      <c r="U682" s="22">
        <f t="shared" si="166"/>
        <v>1900</v>
      </c>
      <c r="W682" s="22" t="str">
        <f t="shared" si="164"/>
        <v>190000</v>
      </c>
      <c r="X682" s="22" t="str">
        <f t="shared" si="165"/>
        <v>190000</v>
      </c>
    </row>
    <row r="683" spans="2:24">
      <c r="B683" s="22"/>
      <c r="C683" s="22"/>
      <c r="E683" s="54"/>
      <c r="F683" s="77"/>
      <c r="G683" s="77"/>
      <c r="H683" s="78"/>
      <c r="I683" s="54"/>
      <c r="J683" s="39"/>
      <c r="K683" s="54"/>
      <c r="P683" s="22">
        <f t="shared" si="160"/>
        <v>0</v>
      </c>
      <c r="Q683" s="22" t="str">
        <f t="shared" si="162"/>
        <v>00</v>
      </c>
      <c r="R683" s="22">
        <f t="shared" si="161"/>
        <v>0</v>
      </c>
      <c r="S683" s="22" t="str">
        <f t="shared" si="163"/>
        <v>00</v>
      </c>
      <c r="T683" s="22">
        <f t="shared" si="166"/>
        <v>1900</v>
      </c>
      <c r="U683" s="22">
        <f t="shared" si="166"/>
        <v>1900</v>
      </c>
      <c r="W683" s="22" t="str">
        <f t="shared" si="164"/>
        <v>190000</v>
      </c>
      <c r="X683" s="22" t="str">
        <f t="shared" si="165"/>
        <v>190000</v>
      </c>
    </row>
    <row r="684" spans="2:24">
      <c r="B684" s="22"/>
      <c r="C684" s="22"/>
      <c r="E684" s="54"/>
      <c r="F684" s="77"/>
      <c r="G684" s="77"/>
      <c r="H684" s="78"/>
      <c r="I684" s="54"/>
      <c r="J684" s="39"/>
      <c r="K684" s="54"/>
      <c r="P684" s="22">
        <f t="shared" si="160"/>
        <v>0</v>
      </c>
      <c r="Q684" s="22" t="str">
        <f t="shared" si="162"/>
        <v>00</v>
      </c>
      <c r="R684" s="22">
        <f t="shared" si="161"/>
        <v>0</v>
      </c>
      <c r="S684" s="22" t="str">
        <f t="shared" si="163"/>
        <v>00</v>
      </c>
      <c r="T684" s="22">
        <f t="shared" si="166"/>
        <v>1900</v>
      </c>
      <c r="U684" s="22">
        <f t="shared" si="166"/>
        <v>1900</v>
      </c>
      <c r="W684" s="22" t="str">
        <f t="shared" si="164"/>
        <v>190000</v>
      </c>
      <c r="X684" s="22" t="str">
        <f t="shared" si="165"/>
        <v>190000</v>
      </c>
    </row>
    <row r="685" spans="2:24">
      <c r="B685" s="22"/>
      <c r="C685" s="22"/>
      <c r="E685" s="54"/>
      <c r="F685" s="77"/>
      <c r="G685" s="77"/>
      <c r="H685" s="78"/>
      <c r="I685" s="54"/>
      <c r="J685" s="39"/>
      <c r="K685" s="54"/>
      <c r="P685" s="22">
        <f t="shared" si="160"/>
        <v>0</v>
      </c>
      <c r="Q685" s="22" t="str">
        <f t="shared" si="162"/>
        <v>00</v>
      </c>
      <c r="R685" s="22">
        <f t="shared" si="161"/>
        <v>0</v>
      </c>
      <c r="S685" s="22" t="str">
        <f t="shared" si="163"/>
        <v>00</v>
      </c>
      <c r="T685" s="22">
        <f t="shared" si="166"/>
        <v>1900</v>
      </c>
      <c r="U685" s="22">
        <f t="shared" si="166"/>
        <v>1900</v>
      </c>
      <c r="W685" s="22" t="str">
        <f t="shared" si="164"/>
        <v>190000</v>
      </c>
      <c r="X685" s="22" t="str">
        <f t="shared" si="165"/>
        <v>190000</v>
      </c>
    </row>
    <row r="686" spans="2:24">
      <c r="B686" s="22"/>
      <c r="C686" s="22"/>
      <c r="E686" s="54"/>
      <c r="F686" s="77"/>
      <c r="G686" s="77"/>
      <c r="H686" s="78"/>
      <c r="I686" s="54"/>
      <c r="J686" s="39"/>
      <c r="K686" s="54"/>
      <c r="P686" s="22">
        <f t="shared" si="160"/>
        <v>0</v>
      </c>
      <c r="Q686" s="22" t="str">
        <f t="shared" si="162"/>
        <v>00</v>
      </c>
      <c r="R686" s="22">
        <f t="shared" si="161"/>
        <v>0</v>
      </c>
      <c r="S686" s="22" t="str">
        <f t="shared" si="163"/>
        <v>00</v>
      </c>
      <c r="T686" s="22">
        <f t="shared" si="166"/>
        <v>1900</v>
      </c>
      <c r="U686" s="22">
        <f t="shared" si="166"/>
        <v>1900</v>
      </c>
      <c r="W686" s="22" t="str">
        <f t="shared" si="164"/>
        <v>190000</v>
      </c>
      <c r="X686" s="22" t="str">
        <f t="shared" si="165"/>
        <v>190000</v>
      </c>
    </row>
    <row r="687" spans="2:24">
      <c r="B687" s="22"/>
      <c r="C687" s="22"/>
      <c r="E687" s="54"/>
      <c r="F687" s="77"/>
      <c r="G687" s="77"/>
      <c r="H687" s="78"/>
      <c r="I687" s="54"/>
      <c r="J687" s="39"/>
      <c r="K687" s="54"/>
      <c r="P687" s="22">
        <f t="shared" si="160"/>
        <v>0</v>
      </c>
      <c r="Q687" s="22" t="str">
        <f t="shared" si="162"/>
        <v>00</v>
      </c>
      <c r="R687" s="22">
        <f t="shared" si="161"/>
        <v>0</v>
      </c>
      <c r="S687" s="22" t="str">
        <f t="shared" si="163"/>
        <v>00</v>
      </c>
      <c r="T687" s="22">
        <f t="shared" si="166"/>
        <v>1900</v>
      </c>
      <c r="U687" s="22">
        <f t="shared" si="166"/>
        <v>1900</v>
      </c>
      <c r="W687" s="22" t="str">
        <f t="shared" si="164"/>
        <v>190000</v>
      </c>
      <c r="X687" s="22" t="str">
        <f t="shared" si="165"/>
        <v>190000</v>
      </c>
    </row>
    <row r="688" spans="2:24">
      <c r="B688" s="22"/>
      <c r="C688" s="22"/>
      <c r="E688" s="54"/>
      <c r="F688" s="77"/>
      <c r="G688" s="77"/>
      <c r="H688" s="78"/>
      <c r="I688" s="54"/>
      <c r="J688" s="39"/>
      <c r="K688" s="54"/>
      <c r="P688" s="22">
        <f t="shared" si="160"/>
        <v>0</v>
      </c>
      <c r="Q688" s="22" t="str">
        <f t="shared" si="162"/>
        <v>00</v>
      </c>
      <c r="R688" s="22">
        <f t="shared" si="161"/>
        <v>0</v>
      </c>
      <c r="S688" s="22" t="str">
        <f t="shared" si="163"/>
        <v>00</v>
      </c>
      <c r="T688" s="22">
        <f t="shared" si="166"/>
        <v>1900</v>
      </c>
      <c r="U688" s="22">
        <f t="shared" si="166"/>
        <v>1900</v>
      </c>
      <c r="W688" s="22" t="str">
        <f t="shared" si="164"/>
        <v>190000</v>
      </c>
      <c r="X688" s="22" t="str">
        <f t="shared" si="165"/>
        <v>190000</v>
      </c>
    </row>
    <row r="689" spans="2:24">
      <c r="B689" s="22"/>
      <c r="C689" s="22"/>
      <c r="E689" s="54"/>
      <c r="F689" s="77"/>
      <c r="G689" s="77"/>
      <c r="H689" s="78"/>
      <c r="I689" s="54"/>
      <c r="J689" s="39"/>
      <c r="K689" s="54"/>
      <c r="P689" s="22">
        <f t="shared" si="160"/>
        <v>0</v>
      </c>
      <c r="Q689" s="22" t="str">
        <f t="shared" si="162"/>
        <v>00</v>
      </c>
      <c r="R689" s="22">
        <f t="shared" si="161"/>
        <v>0</v>
      </c>
      <c r="S689" s="22" t="str">
        <f t="shared" si="163"/>
        <v>00</v>
      </c>
      <c r="T689" s="22">
        <f t="shared" si="166"/>
        <v>1900</v>
      </c>
      <c r="U689" s="22">
        <f t="shared" si="166"/>
        <v>1900</v>
      </c>
      <c r="W689" s="22" t="str">
        <f t="shared" si="164"/>
        <v>190000</v>
      </c>
      <c r="X689" s="22" t="str">
        <f t="shared" si="165"/>
        <v>190000</v>
      </c>
    </row>
    <row r="690" spans="2:24">
      <c r="B690" s="22"/>
      <c r="C690" s="22"/>
      <c r="E690" s="54"/>
      <c r="F690" s="77"/>
      <c r="G690" s="77"/>
      <c r="H690" s="78"/>
      <c r="I690" s="54"/>
      <c r="J690" s="39"/>
      <c r="K690" s="54"/>
      <c r="P690" s="22">
        <f t="shared" si="160"/>
        <v>0</v>
      </c>
      <c r="Q690" s="22" t="str">
        <f t="shared" si="162"/>
        <v>00</v>
      </c>
      <c r="R690" s="22">
        <f t="shared" si="161"/>
        <v>0</v>
      </c>
      <c r="S690" s="22" t="str">
        <f t="shared" si="163"/>
        <v>00</v>
      </c>
      <c r="T690" s="22">
        <f t="shared" si="166"/>
        <v>1900</v>
      </c>
      <c r="U690" s="22">
        <f t="shared" si="166"/>
        <v>1900</v>
      </c>
      <c r="W690" s="22" t="str">
        <f t="shared" si="164"/>
        <v>190000</v>
      </c>
      <c r="X690" s="22" t="str">
        <f t="shared" si="165"/>
        <v>190000</v>
      </c>
    </row>
    <row r="691" spans="2:24">
      <c r="B691" s="22"/>
      <c r="C691" s="22"/>
      <c r="E691" s="54"/>
      <c r="F691" s="77"/>
      <c r="G691" s="77"/>
      <c r="H691" s="78"/>
      <c r="I691" s="54"/>
      <c r="J691" s="39"/>
      <c r="K691" s="54"/>
      <c r="P691" s="22">
        <f t="shared" si="160"/>
        <v>0</v>
      </c>
      <c r="Q691" s="22" t="str">
        <f t="shared" si="162"/>
        <v>00</v>
      </c>
      <c r="R691" s="22">
        <f t="shared" si="161"/>
        <v>0</v>
      </c>
      <c r="S691" s="22" t="str">
        <f t="shared" si="163"/>
        <v>00</v>
      </c>
      <c r="T691" s="22">
        <f t="shared" si="166"/>
        <v>1900</v>
      </c>
      <c r="U691" s="22">
        <f t="shared" si="166"/>
        <v>1900</v>
      </c>
      <c r="W691" s="22" t="str">
        <f t="shared" si="164"/>
        <v>190000</v>
      </c>
      <c r="X691" s="22" t="str">
        <f t="shared" si="165"/>
        <v>190000</v>
      </c>
    </row>
    <row r="692" spans="2:24">
      <c r="B692" s="22"/>
      <c r="C692" s="22"/>
      <c r="E692" s="54"/>
      <c r="F692" s="77"/>
      <c r="G692" s="77"/>
      <c r="H692" s="78"/>
      <c r="I692" s="54"/>
      <c r="J692" s="39"/>
      <c r="K692" s="54"/>
      <c r="P692" s="22">
        <f t="shared" si="160"/>
        <v>0</v>
      </c>
      <c r="Q692" s="22" t="str">
        <f t="shared" si="162"/>
        <v>00</v>
      </c>
      <c r="R692" s="22">
        <f t="shared" si="161"/>
        <v>0</v>
      </c>
      <c r="S692" s="22" t="str">
        <f t="shared" si="163"/>
        <v>00</v>
      </c>
      <c r="T692" s="22">
        <f t="shared" si="166"/>
        <v>1900</v>
      </c>
      <c r="U692" s="22">
        <f t="shared" si="166"/>
        <v>1900</v>
      </c>
      <c r="W692" s="22" t="str">
        <f t="shared" si="164"/>
        <v>190000</v>
      </c>
      <c r="X692" s="22" t="str">
        <f t="shared" si="165"/>
        <v>190000</v>
      </c>
    </row>
    <row r="693" spans="2:24">
      <c r="B693" s="22"/>
      <c r="C693" s="22"/>
      <c r="E693" s="54"/>
      <c r="F693" s="77"/>
      <c r="G693" s="77"/>
      <c r="H693" s="78"/>
      <c r="I693" s="54"/>
      <c r="J693" s="39"/>
      <c r="K693" s="54"/>
      <c r="P693" s="22">
        <f t="shared" si="160"/>
        <v>0</v>
      </c>
      <c r="Q693" s="22" t="str">
        <f t="shared" si="162"/>
        <v>00</v>
      </c>
      <c r="R693" s="22">
        <f t="shared" si="161"/>
        <v>0</v>
      </c>
      <c r="S693" s="22" t="str">
        <f t="shared" si="163"/>
        <v>00</v>
      </c>
      <c r="T693" s="22">
        <f t="shared" si="166"/>
        <v>1900</v>
      </c>
      <c r="U693" s="22">
        <f t="shared" si="166"/>
        <v>1900</v>
      </c>
      <c r="W693" s="22" t="str">
        <f t="shared" si="164"/>
        <v>190000</v>
      </c>
      <c r="X693" s="22" t="str">
        <f t="shared" si="165"/>
        <v>190000</v>
      </c>
    </row>
    <row r="694" spans="2:24">
      <c r="B694" s="22"/>
      <c r="C694" s="22"/>
      <c r="E694" s="54"/>
      <c r="F694" s="77"/>
      <c r="G694" s="77"/>
      <c r="H694" s="78"/>
      <c r="I694" s="54"/>
      <c r="J694" s="39"/>
      <c r="K694" s="54"/>
      <c r="P694" s="22">
        <f t="shared" si="160"/>
        <v>0</v>
      </c>
      <c r="Q694" s="22" t="str">
        <f t="shared" si="162"/>
        <v>00</v>
      </c>
      <c r="R694" s="22">
        <f t="shared" si="161"/>
        <v>0</v>
      </c>
      <c r="S694" s="22" t="str">
        <f t="shared" si="163"/>
        <v>00</v>
      </c>
      <c r="T694" s="22">
        <f t="shared" si="166"/>
        <v>1900</v>
      </c>
      <c r="U694" s="22">
        <f t="shared" si="166"/>
        <v>1900</v>
      </c>
      <c r="W694" s="22" t="str">
        <f t="shared" si="164"/>
        <v>190000</v>
      </c>
      <c r="X694" s="22" t="str">
        <f t="shared" si="165"/>
        <v>190000</v>
      </c>
    </row>
    <row r="695" spans="2:24">
      <c r="B695" s="22"/>
      <c r="C695" s="22"/>
      <c r="E695" s="54"/>
      <c r="F695" s="77"/>
      <c r="G695" s="77"/>
      <c r="H695" s="78"/>
      <c r="I695" s="54"/>
      <c r="J695" s="39"/>
      <c r="K695" s="54"/>
      <c r="P695" s="22">
        <f t="shared" si="160"/>
        <v>0</v>
      </c>
      <c r="Q695" s="22" t="str">
        <f t="shared" si="162"/>
        <v>00</v>
      </c>
      <c r="R695" s="22">
        <f t="shared" si="161"/>
        <v>0</v>
      </c>
      <c r="S695" s="22" t="str">
        <f t="shared" si="163"/>
        <v>00</v>
      </c>
      <c r="T695" s="22">
        <f t="shared" si="166"/>
        <v>1900</v>
      </c>
      <c r="U695" s="22">
        <f t="shared" si="166"/>
        <v>1900</v>
      </c>
      <c r="W695" s="22" t="str">
        <f t="shared" si="164"/>
        <v>190000</v>
      </c>
      <c r="X695" s="22" t="str">
        <f t="shared" si="165"/>
        <v>190000</v>
      </c>
    </row>
    <row r="696" spans="2:24">
      <c r="B696" s="22"/>
      <c r="C696" s="22"/>
      <c r="E696" s="54"/>
      <c r="F696" s="77"/>
      <c r="G696" s="77"/>
      <c r="H696" s="78"/>
      <c r="I696" s="54"/>
      <c r="J696" s="39"/>
      <c r="K696" s="54"/>
      <c r="P696" s="22">
        <f t="shared" si="160"/>
        <v>0</v>
      </c>
      <c r="Q696" s="22" t="str">
        <f t="shared" si="162"/>
        <v>00</v>
      </c>
      <c r="R696" s="22">
        <f t="shared" si="161"/>
        <v>0</v>
      </c>
      <c r="S696" s="22" t="str">
        <f t="shared" si="163"/>
        <v>00</v>
      </c>
      <c r="T696" s="22">
        <f t="shared" si="166"/>
        <v>1900</v>
      </c>
      <c r="U696" s="22">
        <f t="shared" si="166"/>
        <v>1900</v>
      </c>
      <c r="W696" s="22" t="str">
        <f t="shared" si="164"/>
        <v>190000</v>
      </c>
      <c r="X696" s="22" t="str">
        <f t="shared" si="165"/>
        <v>190000</v>
      </c>
    </row>
    <row r="697" spans="2:24">
      <c r="B697" s="22"/>
      <c r="C697" s="22"/>
      <c r="E697" s="54"/>
      <c r="F697" s="77"/>
      <c r="G697" s="77"/>
      <c r="H697" s="78"/>
      <c r="I697" s="54"/>
      <c r="J697" s="39"/>
      <c r="K697" s="54"/>
    </row>
    <row r="698" spans="2:24">
      <c r="B698" s="22"/>
      <c r="C698" s="22"/>
      <c r="E698" s="54"/>
      <c r="F698" s="77"/>
      <c r="G698" s="77"/>
      <c r="H698" s="78"/>
      <c r="I698" s="54"/>
      <c r="J698" s="39"/>
      <c r="K698" s="54"/>
    </row>
    <row r="699" spans="2:24">
      <c r="B699" s="22"/>
      <c r="C699" s="22"/>
      <c r="E699" s="54"/>
      <c r="F699" s="77"/>
      <c r="G699" s="77"/>
      <c r="H699" s="78"/>
      <c r="I699" s="54"/>
      <c r="J699" s="39"/>
      <c r="K699" s="54"/>
    </row>
    <row r="700" spans="2:24">
      <c r="B700" s="22"/>
      <c r="C700" s="22"/>
      <c r="E700" s="54"/>
      <c r="F700" s="77"/>
      <c r="G700" s="77"/>
      <c r="H700" s="78"/>
      <c r="I700" s="54"/>
      <c r="J700" s="39"/>
      <c r="K700" s="54"/>
    </row>
    <row r="701" spans="2:24">
      <c r="B701" s="22"/>
      <c r="C701" s="22"/>
      <c r="E701" s="54"/>
      <c r="F701" s="77"/>
      <c r="G701" s="77"/>
      <c r="H701" s="78"/>
      <c r="I701" s="54"/>
      <c r="J701" s="39"/>
      <c r="K701" s="54"/>
    </row>
  </sheetData>
  <sheetProtection formatCells="0" formatColumns="0" formatRows="0" insertColumns="0" insertRows="0" insertHyperlinks="0" deleteColumns="0" deleteRows="0" sort="0" autoFilter="0" pivotTables="0"/>
  <autoFilter ref="B7:J84" xr:uid="{00000000-0001-0000-0000-000000000000}"/>
  <dataConsolidate/>
  <mergeCells count="3">
    <mergeCell ref="E1:I1"/>
    <mergeCell ref="B4:C4"/>
    <mergeCell ref="B5:D5"/>
  </mergeCells>
  <phoneticPr fontId="18" type="noConversion"/>
  <conditionalFormatting sqref="C79:C84">
    <cfRule type="expression" dxfId="139" priority="183">
      <formula>$H79="finished"</formula>
    </cfRule>
    <cfRule type="expression" dxfId="138" priority="177">
      <formula>$H78="finished"</formula>
    </cfRule>
    <cfRule type="expression" dxfId="137" priority="182">
      <formula>$H78="delayed"</formula>
    </cfRule>
    <cfRule type="expression" dxfId="136" priority="180">
      <formula>$H78="delayed"</formula>
    </cfRule>
    <cfRule type="expression" dxfId="135" priority="181">
      <formula>$H78="finished"</formula>
    </cfRule>
    <cfRule type="expression" dxfId="134" priority="179">
      <formula>$H78="finished"</formula>
    </cfRule>
    <cfRule type="expression" dxfId="133" priority="184">
      <formula>$H79="delayed"</formula>
    </cfRule>
    <cfRule type="expression" dxfId="132" priority="178">
      <formula>$H78="delayed"</formula>
    </cfRule>
  </conditionalFormatting>
  <conditionalFormatting sqref="D16">
    <cfRule type="expression" dxfId="131" priority="263">
      <formula>#REF!="finished"</formula>
    </cfRule>
    <cfRule type="expression" dxfId="130" priority="264">
      <formula>#REF!="delayed"</formula>
    </cfRule>
  </conditionalFormatting>
  <conditionalFormatting sqref="D16:D17 D49:D61">
    <cfRule type="expression" dxfId="129" priority="205">
      <formula>$H16="finished"</formula>
    </cfRule>
    <cfRule type="expression" dxfId="128" priority="206">
      <formula>$H16="delayed"</formula>
    </cfRule>
  </conditionalFormatting>
  <conditionalFormatting sqref="D17 D79">
    <cfRule type="expression" dxfId="127" priority="200">
      <formula>$H16="delayed"</formula>
    </cfRule>
  </conditionalFormatting>
  <conditionalFormatting sqref="D20 D22">
    <cfRule type="expression" dxfId="126" priority="626">
      <formula>$H20="delayed"</formula>
    </cfRule>
    <cfRule type="expression" dxfId="125" priority="625">
      <formula>$H20="finished"</formula>
    </cfRule>
    <cfRule type="expression" dxfId="124" priority="624">
      <formula>#REF!="delayed"</formula>
    </cfRule>
    <cfRule type="expression" dxfId="123" priority="623">
      <formula>#REF!="finished"</formula>
    </cfRule>
    <cfRule type="expression" dxfId="122" priority="622">
      <formula>#REF!="delayed"</formula>
    </cfRule>
    <cfRule type="expression" dxfId="121" priority="621">
      <formula>#REF!="finished"</formula>
    </cfRule>
  </conditionalFormatting>
  <conditionalFormatting sqref="D21">
    <cfRule type="expression" dxfId="120" priority="193">
      <formula>$H21="finished"</formula>
    </cfRule>
    <cfRule type="expression" dxfId="119" priority="194">
      <formula>$H21="delayed"</formula>
    </cfRule>
    <cfRule type="expression" dxfId="118" priority="191">
      <formula>$H19="finished"</formula>
    </cfRule>
    <cfRule type="expression" dxfId="117" priority="190">
      <formula>$H19="delayed"</formula>
    </cfRule>
    <cfRule type="expression" dxfId="116" priority="189">
      <formula>$H19="finished"</formula>
    </cfRule>
    <cfRule type="expression" dxfId="115" priority="192">
      <formula>$H19="delayed"</formula>
    </cfRule>
  </conditionalFormatting>
  <conditionalFormatting sqref="D24:D25">
    <cfRule type="expression" dxfId="114" priority="31">
      <formula>$H22="finished"</formula>
    </cfRule>
    <cfRule type="expression" dxfId="113" priority="32">
      <formula>$H22="delayed"</formula>
    </cfRule>
  </conditionalFormatting>
  <conditionalFormatting sqref="D24:D27">
    <cfRule type="expression" dxfId="112" priority="28">
      <formula>$H24="finished"</formula>
    </cfRule>
    <cfRule type="expression" dxfId="111" priority="29">
      <formula>$H24="delayed"</formula>
    </cfRule>
  </conditionalFormatting>
  <conditionalFormatting sqref="D26:D27">
    <cfRule type="expression" dxfId="110" priority="26">
      <formula>$H25="finished"</formula>
    </cfRule>
    <cfRule type="expression" dxfId="109" priority="27">
      <formula>$H25="delayed"</formula>
    </cfRule>
  </conditionalFormatting>
  <conditionalFormatting sqref="D41:D42">
    <cfRule type="expression" dxfId="108" priority="22">
      <formula>$H35="delayed"</formula>
    </cfRule>
    <cfRule type="expression" dxfId="107" priority="21">
      <formula>$H35="finished"</formula>
    </cfRule>
  </conditionalFormatting>
  <conditionalFormatting sqref="D41:D43">
    <cfRule type="expression" dxfId="106" priority="15">
      <formula>#REF!="finished"</formula>
    </cfRule>
    <cfRule type="expression" dxfId="105" priority="16">
      <formula>#REF!="delayed"</formula>
    </cfRule>
    <cfRule type="expression" dxfId="104" priority="17">
      <formula>$H41="finished"</formula>
    </cfRule>
    <cfRule type="expression" dxfId="103" priority="18">
      <formula>$H41="delayed"</formula>
    </cfRule>
  </conditionalFormatting>
  <conditionalFormatting sqref="D43">
    <cfRule type="expression" dxfId="102" priority="24">
      <formula>$H36="delayed"</formula>
    </cfRule>
    <cfRule type="expression" dxfId="101" priority="23">
      <formula>$H36="finished"</formula>
    </cfRule>
  </conditionalFormatting>
  <conditionalFormatting sqref="D49:D51">
    <cfRule type="expression" dxfId="100" priority="207">
      <formula>$H47="finished"</formula>
    </cfRule>
    <cfRule type="expression" dxfId="99" priority="208">
      <formula>$H47="delayed"</formula>
    </cfRule>
  </conditionalFormatting>
  <conditionalFormatting sqref="D50:D51">
    <cfRule type="expression" dxfId="98" priority="666">
      <formula>$H46="delayed"</formula>
    </cfRule>
    <cfRule type="expression" dxfId="97" priority="665">
      <formula>$H46="finished"</formula>
    </cfRule>
  </conditionalFormatting>
  <conditionalFormatting sqref="D50:D52">
    <cfRule type="expression" dxfId="96" priority="664">
      <formula>$H47="delayed"</formula>
    </cfRule>
    <cfRule type="expression" dxfId="95" priority="379">
      <formula>$H47="finished"</formula>
    </cfRule>
  </conditionalFormatting>
  <conditionalFormatting sqref="D50:D53">
    <cfRule type="expression" dxfId="94" priority="667">
      <formula>#REF!="finished"</formula>
    </cfRule>
    <cfRule type="expression" dxfId="93" priority="668">
      <formula>#REF!="delayed"</formula>
    </cfRule>
  </conditionalFormatting>
  <conditionalFormatting sqref="D52:D54">
    <cfRule type="expression" dxfId="92" priority="383">
      <formula>$H48="delayed"</formula>
    </cfRule>
    <cfRule type="expression" dxfId="91" priority="382">
      <formula>$H48="finished"</formula>
    </cfRule>
  </conditionalFormatting>
  <conditionalFormatting sqref="D52:D55">
    <cfRule type="expression" dxfId="90" priority="388">
      <formula>$H47="finished"</formula>
    </cfRule>
    <cfRule type="expression" dxfId="89" priority="389">
      <formula>$H47="delayed"</formula>
    </cfRule>
  </conditionalFormatting>
  <conditionalFormatting sqref="D54:D55">
    <cfRule type="expression" dxfId="88" priority="391">
      <formula>$H45="delayed"</formula>
    </cfRule>
    <cfRule type="expression" dxfId="87" priority="390">
      <formula>$H45="finished"</formula>
    </cfRule>
  </conditionalFormatting>
  <conditionalFormatting sqref="D54:D56">
    <cfRule type="expression" dxfId="86" priority="397">
      <formula>$H48="delayed"</formula>
    </cfRule>
    <cfRule type="expression" dxfId="85" priority="396">
      <formula>$H48="finished"</formula>
    </cfRule>
  </conditionalFormatting>
  <conditionalFormatting sqref="D55:D57">
    <cfRule type="expression" dxfId="84" priority="392">
      <formula>$H51="finished"</formula>
    </cfRule>
    <cfRule type="expression" dxfId="83" priority="393">
      <formula>$H51="delayed"</formula>
    </cfRule>
    <cfRule type="expression" dxfId="82" priority="394">
      <formula>$H46="finished"</formula>
    </cfRule>
    <cfRule type="expression" dxfId="81" priority="257">
      <formula>$H47="delayed"</formula>
    </cfRule>
    <cfRule type="expression" dxfId="80" priority="253">
      <formula>$H48="finished"</formula>
    </cfRule>
    <cfRule type="expression" dxfId="79" priority="254">
      <formula>$H48="delayed"</formula>
    </cfRule>
    <cfRule type="expression" dxfId="78" priority="256">
      <formula>$H47="finished"</formula>
    </cfRule>
    <cfRule type="expression" dxfId="77" priority="395">
      <formula>$H46="delayed"</formula>
    </cfRule>
  </conditionalFormatting>
  <conditionalFormatting sqref="D57">
    <cfRule type="expression" dxfId="76" priority="318">
      <formula>$H52="delayed"</formula>
    </cfRule>
    <cfRule type="expression" dxfId="75" priority="317">
      <formula>$H52="finished"</formula>
    </cfRule>
    <cfRule type="expression" dxfId="74" priority="49">
      <formula>$H55="finished"</formula>
    </cfRule>
    <cfRule type="expression" dxfId="73" priority="50">
      <formula>$H55="delayed"</formula>
    </cfRule>
    <cfRule type="expression" dxfId="72" priority="47">
      <formula>$H54="finished"</formula>
    </cfRule>
    <cfRule type="expression" dxfId="71" priority="48">
      <formula>$H54="delayed"</formula>
    </cfRule>
    <cfRule type="expression" dxfId="70" priority="52">
      <formula>$H53="delayed"</formula>
    </cfRule>
    <cfRule type="expression" dxfId="69" priority="51">
      <formula>$H53="finished"</formula>
    </cfRule>
  </conditionalFormatting>
  <conditionalFormatting sqref="D58:D59">
    <cfRule type="expression" dxfId="68" priority="374">
      <formula>$H48="finished"</formula>
    </cfRule>
    <cfRule type="expression" dxfId="67" priority="375">
      <formula>$H48="delayed"</formula>
    </cfRule>
  </conditionalFormatting>
  <conditionalFormatting sqref="D60">
    <cfRule type="expression" dxfId="66" priority="261">
      <formula>$H58="finished"</formula>
    </cfRule>
    <cfRule type="expression" dxfId="65" priority="262">
      <formula>$H58="delayed"</formula>
    </cfRule>
  </conditionalFormatting>
  <conditionalFormatting sqref="D61">
    <cfRule type="expression" dxfId="64" priority="250">
      <formula>#REF!="finished"</formula>
    </cfRule>
    <cfRule type="expression" dxfId="63" priority="251">
      <formula>#REF!="delayed"</formula>
    </cfRule>
    <cfRule type="expression" dxfId="62" priority="186">
      <formula>#REF!="delayed"</formula>
    </cfRule>
    <cfRule type="expression" dxfId="61" priority="185">
      <formula>#REF!="finished"</formula>
    </cfRule>
    <cfRule type="expression" dxfId="60" priority="139">
      <formula>#REF!="finished"</formula>
    </cfRule>
    <cfRule type="expression" dxfId="59" priority="140">
      <formula>#REF!="delayed"</formula>
    </cfRule>
  </conditionalFormatting>
  <conditionalFormatting sqref="D63:D65">
    <cfRule type="expression" dxfId="58" priority="133">
      <formula>$H63="finished"</formula>
    </cfRule>
    <cfRule type="expression" dxfId="57" priority="134">
      <formula>$H63="delayed"</formula>
    </cfRule>
    <cfRule type="expression" dxfId="56" priority="135">
      <formula>#REF!="finished"</formula>
    </cfRule>
    <cfRule type="expression" dxfId="55" priority="136">
      <formula>#REF!="delayed"</formula>
    </cfRule>
    <cfRule type="expression" dxfId="54" priority="129">
      <formula>#REF!="finished"</formula>
    </cfRule>
    <cfRule type="expression" dxfId="53" priority="130">
      <formula>#REF!="delayed"</formula>
    </cfRule>
    <cfRule type="expression" dxfId="52" priority="131">
      <formula>#REF!="finished"</formula>
    </cfRule>
    <cfRule type="expression" dxfId="51" priority="132">
      <formula>#REF!="delayed"</formula>
    </cfRule>
  </conditionalFormatting>
  <conditionalFormatting sqref="D79 D17">
    <cfRule type="expression" dxfId="50" priority="199">
      <formula>$H16="finished"</formula>
    </cfRule>
  </conditionalFormatting>
  <conditionalFormatting sqref="D79">
    <cfRule type="expression" dxfId="49" priority="196">
      <formula>$H78="delayed"</formula>
    </cfRule>
    <cfRule type="expression" dxfId="48" priority="197">
      <formula>$H78="finished"</formula>
    </cfRule>
    <cfRule type="expression" dxfId="47" priority="198">
      <formula>$H78="delayed"</formula>
    </cfRule>
    <cfRule type="expression" dxfId="46" priority="195">
      <formula>$H78="finished"</formula>
    </cfRule>
  </conditionalFormatting>
  <conditionalFormatting sqref="D79:D80">
    <cfRule type="expression" dxfId="45" priority="201">
      <formula>$H79="finished"</formula>
    </cfRule>
    <cfRule type="expression" dxfId="44" priority="202">
      <formula>$H79="delayed"</formula>
    </cfRule>
  </conditionalFormatting>
  <conditionalFormatting sqref="D80">
    <cfRule type="expression" dxfId="43" priority="247">
      <formula>#REF!="finished"</formula>
    </cfRule>
    <cfRule type="expression" dxfId="42" priority="248">
      <formula>#REF!="delayed"</formula>
    </cfRule>
  </conditionalFormatting>
  <conditionalFormatting sqref="D92:D583">
    <cfRule type="expression" dxfId="41" priority="233">
      <formula>$I92="finished"</formula>
    </cfRule>
    <cfRule type="expression" dxfId="40" priority="234">
      <formula>$I92="delayed"</formula>
    </cfRule>
  </conditionalFormatting>
  <conditionalFormatting sqref="F8:H8 F10:H10 F85:H701 P554:X696">
    <cfRule type="expression" dxfId="39" priority="235">
      <formula>$I8="finished"</formula>
    </cfRule>
    <cfRule type="expression" dxfId="38" priority="236">
      <formula>$I8="delayed"</formula>
    </cfRule>
  </conditionalFormatting>
  <conditionalFormatting sqref="H9">
    <cfRule type="iconSet" priority="188">
      <iconSet iconSet="3TrafficLights2">
        <cfvo type="percent" val="0"/>
        <cfvo type="num" val="0"/>
        <cfvo type="num" val="2"/>
      </iconSet>
    </cfRule>
  </conditionalFormatting>
  <conditionalFormatting sqref="H11">
    <cfRule type="iconSet" priority="231">
      <iconSet iconSet="3TrafficLights2">
        <cfvo type="percent" val="0"/>
        <cfvo type="num" val="0"/>
        <cfvo type="num" val="2"/>
      </iconSet>
    </cfRule>
  </conditionalFormatting>
  <conditionalFormatting sqref="H12:H13">
    <cfRule type="iconSet" priority="232">
      <iconSet iconSet="3TrafficLights2">
        <cfvo type="percent" val="0"/>
        <cfvo type="num" val="0"/>
        <cfvo type="num" val="2"/>
      </iconSet>
    </cfRule>
  </conditionalFormatting>
  <conditionalFormatting sqref="H14">
    <cfRule type="iconSet" priority="265">
      <iconSet iconSet="3TrafficLights2">
        <cfvo type="percent" val="0"/>
        <cfvo type="num" val="0"/>
        <cfvo type="num" val="2"/>
      </iconSet>
    </cfRule>
  </conditionalFormatting>
  <conditionalFormatting sqref="H15">
    <cfRule type="iconSet" priority="230">
      <iconSet iconSet="3TrafficLights2">
        <cfvo type="percent" val="0"/>
        <cfvo type="num" val="0"/>
        <cfvo type="num" val="2"/>
      </iconSet>
    </cfRule>
  </conditionalFormatting>
  <conditionalFormatting sqref="H16:H19">
    <cfRule type="iconSet" priority="647">
      <iconSet iconSet="3TrafficLights2">
        <cfvo type="percent" val="0"/>
        <cfvo type="num" val="0"/>
        <cfvo type="num" val="2"/>
      </iconSet>
    </cfRule>
  </conditionalFormatting>
  <conditionalFormatting sqref="H22">
    <cfRule type="iconSet" priority="661">
      <iconSet iconSet="3TrafficLights2">
        <cfvo type="percent" val="0"/>
        <cfvo type="num" val="0"/>
        <cfvo type="num" val="2"/>
      </iconSet>
    </cfRule>
  </conditionalFormatting>
  <conditionalFormatting sqref="H23">
    <cfRule type="iconSet" priority="36">
      <iconSet iconSet="3TrafficLights2">
        <cfvo type="percent" val="0"/>
        <cfvo type="num" val="0"/>
        <cfvo type="num" val="2"/>
      </iconSet>
    </cfRule>
  </conditionalFormatting>
  <conditionalFormatting sqref="H24:H25">
    <cfRule type="iconSet" priority="35">
      <iconSet iconSet="3TrafficLights2">
        <cfvo type="percent" val="0"/>
        <cfvo type="num" val="0"/>
        <cfvo type="num" val="2"/>
      </iconSet>
    </cfRule>
  </conditionalFormatting>
  <conditionalFormatting sqref="H26">
    <cfRule type="iconSet" priority="30">
      <iconSet iconSet="3TrafficLights2">
        <cfvo type="percent" val="0"/>
        <cfvo type="num" val="0"/>
        <cfvo type="num" val="2"/>
      </iconSet>
    </cfRule>
  </conditionalFormatting>
  <conditionalFormatting sqref="H27">
    <cfRule type="iconSet" priority="25">
      <iconSet iconSet="3TrafficLights2">
        <cfvo type="percent" val="0"/>
        <cfvo type="num" val="0"/>
        <cfvo type="num" val="2"/>
      </iconSet>
    </cfRule>
  </conditionalFormatting>
  <conditionalFormatting sqref="H28 H20:H21">
    <cfRule type="iconSet" priority="246">
      <iconSet iconSet="3TrafficLights2">
        <cfvo type="percent" val="0"/>
        <cfvo type="num" val="0"/>
        <cfvo type="num" val="2"/>
      </iconSet>
    </cfRule>
  </conditionalFormatting>
  <conditionalFormatting sqref="H29">
    <cfRule type="iconSet" priority="204">
      <iconSet iconSet="3TrafficLights2">
        <cfvo type="percent" val="0"/>
        <cfvo type="num" val="0"/>
        <cfvo type="num" val="2"/>
      </iconSet>
    </cfRule>
  </conditionalFormatting>
  <conditionalFormatting sqref="H30:H39">
    <cfRule type="iconSet" priority="741">
      <iconSet iconSet="3TrafficLights2">
        <cfvo type="percent" val="0"/>
        <cfvo type="num" val="0"/>
        <cfvo type="num" val="2"/>
      </iconSet>
    </cfRule>
  </conditionalFormatting>
  <conditionalFormatting sqref="H40:H43">
    <cfRule type="iconSet" priority="20">
      <iconSet iconSet="3TrafficLights2">
        <cfvo type="percent" val="0"/>
        <cfvo type="num" val="0"/>
        <cfvo type="num" val="2"/>
      </iconSet>
    </cfRule>
  </conditionalFormatting>
  <conditionalFormatting sqref="H44:H45">
    <cfRule type="iconSet" priority="19">
      <iconSet iconSet="3TrafficLights2">
        <cfvo type="percent" val="0"/>
        <cfvo type="num" val="0"/>
        <cfvo type="num" val="2"/>
      </iconSet>
    </cfRule>
  </conditionalFormatting>
  <conditionalFormatting sqref="H46">
    <cfRule type="iconSet" priority="166">
      <iconSet iconSet="3TrafficLights2">
        <cfvo type="percent" val="0"/>
        <cfvo type="num" val="0"/>
        <cfvo type="num" val="2"/>
      </iconSet>
    </cfRule>
  </conditionalFormatting>
  <conditionalFormatting sqref="H47:H49 H60 H58 H62:H67">
    <cfRule type="iconSet" priority="740">
      <iconSet iconSet="3TrafficLights2">
        <cfvo type="percent" val="0"/>
        <cfvo type="num" val="0"/>
        <cfvo type="num" val="2"/>
      </iconSet>
    </cfRule>
  </conditionalFormatting>
  <conditionalFormatting sqref="H50:H57">
    <cfRule type="iconSet" priority="356">
      <iconSet iconSet="3TrafficLights2">
        <cfvo type="percent" val="0"/>
        <cfvo type="num" val="0"/>
        <cfvo type="num" val="2"/>
      </iconSet>
    </cfRule>
  </conditionalFormatting>
  <conditionalFormatting sqref="H59">
    <cfRule type="iconSet" priority="266">
      <iconSet iconSet="3TrafficLights2">
        <cfvo type="percent" val="0"/>
        <cfvo type="num" val="0"/>
        <cfvo type="num" val="2"/>
      </iconSet>
    </cfRule>
  </conditionalFormatting>
  <conditionalFormatting sqref="H61">
    <cfRule type="iconSet" priority="255">
      <iconSet iconSet="3TrafficLights2">
        <cfvo type="percent" val="0"/>
        <cfvo type="num" val="0"/>
        <cfvo type="num" val="2"/>
      </iconSet>
    </cfRule>
  </conditionalFormatting>
  <conditionalFormatting sqref="H68">
    <cfRule type="iconSet" priority="269">
      <iconSet iconSet="3TrafficLights2">
        <cfvo type="percent" val="0"/>
        <cfvo type="num" val="0"/>
        <cfvo type="num" val="2"/>
      </iconSet>
    </cfRule>
  </conditionalFormatting>
  <conditionalFormatting sqref="H69">
    <cfRule type="iconSet" priority="224">
      <iconSet iconSet="3TrafficLights2">
        <cfvo type="percent" val="0"/>
        <cfvo type="num" val="0"/>
        <cfvo type="num" val="2"/>
      </iconSet>
    </cfRule>
  </conditionalFormatting>
  <conditionalFormatting sqref="H70">
    <cfRule type="iconSet" priority="242">
      <iconSet iconSet="3TrafficLights2">
        <cfvo type="percent" val="0"/>
        <cfvo type="num" val="0"/>
        <cfvo type="num" val="2"/>
      </iconSet>
    </cfRule>
  </conditionalFormatting>
  <conditionalFormatting sqref="H71:H75">
    <cfRule type="iconSet" priority="270">
      <iconSet iconSet="3TrafficLights2">
        <cfvo type="percent" val="0"/>
        <cfvo type="num" val="0"/>
        <cfvo type="num" val="2"/>
      </iconSet>
    </cfRule>
  </conditionalFormatting>
  <conditionalFormatting sqref="H76:H77">
    <cfRule type="iconSet" priority="241">
      <iconSet iconSet="3TrafficLights2">
        <cfvo type="percent" val="0"/>
        <cfvo type="num" val="0"/>
        <cfvo type="num" val="2"/>
      </iconSet>
    </cfRule>
  </conditionalFormatting>
  <conditionalFormatting sqref="H78">
    <cfRule type="iconSet" priority="211">
      <iconSet iconSet="3TrafficLights2">
        <cfvo type="percent" val="0"/>
        <cfvo type="num" val="0"/>
        <cfvo type="num" val="2"/>
      </iconSet>
    </cfRule>
  </conditionalFormatting>
  <conditionalFormatting sqref="H79">
    <cfRule type="iconSet" priority="203">
      <iconSet iconSet="3TrafficLights2">
        <cfvo type="percent" val="0"/>
        <cfvo type="num" val="0"/>
        <cfvo type="num" val="2"/>
      </iconSet>
    </cfRule>
  </conditionalFormatting>
  <conditionalFormatting sqref="H80:H84">
    <cfRule type="iconSet" priority="249">
      <iconSet iconSet="3TrafficLights2">
        <cfvo type="percent" val="0"/>
        <cfvo type="num" val="0"/>
        <cfvo type="num" val="2"/>
      </iconSet>
    </cfRule>
  </conditionalFormatting>
  <conditionalFormatting sqref="I8:J8 I10:J10 I14:J14 J15:J17 J19:J20 I85:J701">
    <cfRule type="cellIs" dxfId="37" priority="237" stopIfTrue="1" operator="equal">
      <formula>"delayed"</formula>
    </cfRule>
    <cfRule type="cellIs" dxfId="36" priority="238" stopIfTrue="1" operator="equal">
      <formula>"finished"</formula>
    </cfRule>
  </conditionalFormatting>
  <conditionalFormatting sqref="J9">
    <cfRule type="cellIs" dxfId="35" priority="55" stopIfTrue="1" operator="equal">
      <formula>"delayed"</formula>
    </cfRule>
    <cfRule type="cellIs" dxfId="34" priority="56" stopIfTrue="1" operator="equal">
      <formula>"finished"</formula>
    </cfRule>
  </conditionalFormatting>
  <conditionalFormatting sqref="J11:J12">
    <cfRule type="cellIs" dxfId="33" priority="63" stopIfTrue="1" operator="equal">
      <formula>"delayed"</formula>
    </cfRule>
    <cfRule type="cellIs" dxfId="32" priority="64" stopIfTrue="1" operator="equal">
      <formula>"finished"</formula>
    </cfRule>
  </conditionalFormatting>
  <conditionalFormatting sqref="J23:J27">
    <cfRule type="cellIs" dxfId="31" priority="34" stopIfTrue="1" operator="equal">
      <formula>"finished"</formula>
    </cfRule>
    <cfRule type="cellIs" dxfId="30" priority="33" stopIfTrue="1" operator="equal">
      <formula>"delayed"</formula>
    </cfRule>
  </conditionalFormatting>
  <conditionalFormatting sqref="J29:J33">
    <cfRule type="cellIs" dxfId="29" priority="6" stopIfTrue="1" operator="equal">
      <formula>"finished"</formula>
    </cfRule>
    <cfRule type="cellIs" dxfId="28" priority="5" stopIfTrue="1" operator="equal">
      <formula>"delayed"</formula>
    </cfRule>
  </conditionalFormatting>
  <conditionalFormatting sqref="J35:J37">
    <cfRule type="cellIs" dxfId="27" priority="3" stopIfTrue="1" operator="equal">
      <formula>"delayed"</formula>
    </cfRule>
    <cfRule type="cellIs" dxfId="26" priority="4" stopIfTrue="1" operator="equal">
      <formula>"finished"</formula>
    </cfRule>
  </conditionalFormatting>
  <conditionalFormatting sqref="J39:J40 J42">
    <cfRule type="cellIs" dxfId="25" priority="12" stopIfTrue="1" operator="equal">
      <formula>"finished"</formula>
    </cfRule>
    <cfRule type="cellIs" dxfId="24" priority="11" stopIfTrue="1" operator="equal">
      <formula>"delayed"</formula>
    </cfRule>
  </conditionalFormatting>
  <conditionalFormatting sqref="J40 J42:J45">
    <cfRule type="cellIs" dxfId="23" priority="10" stopIfTrue="1" operator="equal">
      <formula>"finished"</formula>
    </cfRule>
    <cfRule type="cellIs" dxfId="22" priority="9" stopIfTrue="1" operator="equal">
      <formula>"delayed"</formula>
    </cfRule>
  </conditionalFormatting>
  <conditionalFormatting sqref="J44:J45">
    <cfRule type="cellIs" dxfId="21" priority="14" stopIfTrue="1" operator="equal">
      <formula>"finished"</formula>
    </cfRule>
    <cfRule type="cellIs" dxfId="20" priority="13" stopIfTrue="1" operator="equal">
      <formula>"delayed"</formula>
    </cfRule>
  </conditionalFormatting>
  <conditionalFormatting sqref="J47 J49:J53 J57:J58 J65:J68">
    <cfRule type="cellIs" dxfId="19" priority="72" stopIfTrue="1" operator="equal">
      <formula>"finished"</formula>
    </cfRule>
  </conditionalFormatting>
  <conditionalFormatting sqref="J47">
    <cfRule type="cellIs" dxfId="18" priority="100" stopIfTrue="1" operator="equal">
      <formula>"finished"</formula>
    </cfRule>
    <cfRule type="cellIs" dxfId="17" priority="99" stopIfTrue="1" operator="equal">
      <formula>"delayed"</formula>
    </cfRule>
  </conditionalFormatting>
  <conditionalFormatting sqref="J57">
    <cfRule type="cellIs" dxfId="16" priority="53" stopIfTrue="1" operator="equal">
      <formula>"delayed"</formula>
    </cfRule>
    <cfRule type="cellIs" dxfId="15" priority="54" stopIfTrue="1" operator="equal">
      <formula>"finished"</formula>
    </cfRule>
  </conditionalFormatting>
  <conditionalFormatting sqref="J57:J58 J47 J49:J53 J65:J68">
    <cfRule type="cellIs" dxfId="14" priority="71" stopIfTrue="1" operator="equal">
      <formula>"delayed"</formula>
    </cfRule>
  </conditionalFormatting>
  <conditionalFormatting sqref="J59:J63">
    <cfRule type="cellIs" dxfId="13" priority="1" stopIfTrue="1" operator="equal">
      <formula>"delayed"</formula>
    </cfRule>
    <cfRule type="cellIs" dxfId="12" priority="2" stopIfTrue="1" operator="equal">
      <formula>"finished"</formula>
    </cfRule>
  </conditionalFormatting>
  <conditionalFormatting sqref="J62">
    <cfRule type="expression" dxfId="11" priority="172">
      <formula>$H62="finished"</formula>
    </cfRule>
    <cfRule type="expression" dxfId="10" priority="173">
      <formula>$H62="delayed"</formula>
    </cfRule>
    <cfRule type="expression" dxfId="9" priority="175">
      <formula>#REF!="delayed"</formula>
    </cfRule>
    <cfRule type="expression" dxfId="8" priority="174">
      <formula>#REF!="finished"</formula>
    </cfRule>
  </conditionalFormatting>
  <conditionalFormatting sqref="J63 J68">
    <cfRule type="cellIs" dxfId="7" priority="78" stopIfTrue="1" operator="equal">
      <formula>"finished"</formula>
    </cfRule>
  </conditionalFormatting>
  <conditionalFormatting sqref="J68 J63">
    <cfRule type="cellIs" dxfId="6" priority="77" stopIfTrue="1" operator="equal">
      <formula>"delayed"</formula>
    </cfRule>
  </conditionalFormatting>
  <conditionalFormatting sqref="J71:J75">
    <cfRule type="cellIs" dxfId="5" priority="59" stopIfTrue="1" operator="equal">
      <formula>"delayed"</formula>
    </cfRule>
    <cfRule type="cellIs" dxfId="4" priority="60" stopIfTrue="1" operator="equal">
      <formula>"finished"</formula>
    </cfRule>
  </conditionalFormatting>
  <conditionalFormatting sqref="J79:J84">
    <cfRule type="cellIs" dxfId="3" priority="57" stopIfTrue="1" operator="equal">
      <formula>"delayed"</formula>
    </cfRule>
    <cfRule type="cellIs" dxfId="2" priority="58" stopIfTrue="1" operator="equal">
      <formula>"finished"</formula>
    </cfRule>
  </conditionalFormatting>
  <conditionalFormatting sqref="P8:X553">
    <cfRule type="expression" dxfId="1" priority="239" stopIfTrue="1">
      <formula>#REF!="finished"</formula>
    </cfRule>
    <cfRule type="expression" dxfId="0" priority="240" stopIfTrue="1">
      <formula>#REF!="delayed"</formula>
    </cfRule>
  </conditionalFormatting>
  <dataValidations count="2">
    <dataValidation type="list" allowBlank="1" showInputMessage="1" showErrorMessage="1" sqref="I85:I199" xr:uid="{00000000-0002-0000-0000-000001000000}">
      <formula1>$P$4:$T$4</formula1>
    </dataValidation>
    <dataValidation type="list" allowBlank="1" showInputMessage="1" showErrorMessage="1" sqref="I8:I84" xr:uid="{00000000-0002-0000-0000-000000000000}">
      <formula1>$P$4:$U$4</formula1>
    </dataValidation>
  </dataValidations>
  <pageMargins left="0.45" right="0.33" top="0.2" bottom="0.2" header="0.5" footer="0.5"/>
  <pageSetup paperSize="9" scale="47" fitToHeight="2" orientation="landscape" r:id="rId1"/>
  <headerFooter alignWithMargins="0">
    <oddFooter>&amp;C_x000D_&amp;1#&amp;"Calibri"&amp;10&amp;K000000 DSV internal</oddFooter>
  </headerFooter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ADD1-C70C-4A34-858A-847E533D38DE}">
  <dimension ref="A1"/>
  <sheetViews>
    <sheetView showGridLines="0" topLeftCell="X1" workbookViewId="0">
      <selection activeCell="X9" sqref="X9"/>
    </sheetView>
  </sheetViews>
  <sheetFormatPr defaultRowHeight="12.75"/>
  <sheetData/>
  <pageMargins left="0.7" right="0.7" top="0.75" bottom="0.75" header="0.3" footer="0.3"/>
  <headerFooter>
    <oddFooter>&amp;C_x000D_&amp;1#&amp;"Calibri"&amp;10&amp;K000000 DSV 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86E2-451F-4AFC-B1A6-0EFEBBC916DC}">
  <dimension ref="C4:D7"/>
  <sheetViews>
    <sheetView showGridLines="0" workbookViewId="0">
      <selection activeCell="D5" sqref="D5"/>
    </sheetView>
  </sheetViews>
  <sheetFormatPr defaultRowHeight="12.75"/>
  <cols>
    <col min="3" max="3" width="10.42578125" bestFit="1" customWidth="1"/>
  </cols>
  <sheetData>
    <row r="4" spans="3:4">
      <c r="C4" s="10" t="s">
        <v>116</v>
      </c>
      <c r="D4" s="9">
        <f>COUNTIF('Implementation Plan'!I7:I84,"not started")</f>
        <v>44</v>
      </c>
    </row>
    <row r="5" spans="3:4">
      <c r="C5" s="10" t="s">
        <v>6</v>
      </c>
      <c r="D5" s="9">
        <f>COUNTIF('Implementation Plan'!I8:I85,"on track")</f>
        <v>19</v>
      </c>
    </row>
    <row r="6" spans="3:4">
      <c r="C6" s="10" t="s">
        <v>7</v>
      </c>
      <c r="D6" s="9">
        <f>COUNTIF('Implementation Plan'!I9:I86,"finished")</f>
        <v>5</v>
      </c>
    </row>
    <row r="7" spans="3:4">
      <c r="C7" s="10" t="s">
        <v>117</v>
      </c>
      <c r="D7" s="9">
        <f>SUM(D4:D6)</f>
        <v>68</v>
      </c>
    </row>
  </sheetData>
  <pageMargins left="0.7" right="0.7" top="0.75" bottom="0.75" header="0.3" footer="0.3"/>
  <headerFooter>
    <oddFooter>&amp;C_x000D_&amp;1#&amp;"Calibri"&amp;10&amp;K000000 DSV internal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417C202287E740848B9B309A8A86EA" ma:contentTypeVersion="14" ma:contentTypeDescription="Create a new document." ma:contentTypeScope="" ma:versionID="3588ce402b775e787b168adf98a3da85">
  <xsd:schema xmlns:xsd="http://www.w3.org/2001/XMLSchema" xmlns:xs="http://www.w3.org/2001/XMLSchema" xmlns:p="http://schemas.microsoft.com/office/2006/metadata/properties" xmlns:ns2="313bb955-924e-4bb9-b079-d71d0682da70" xmlns:ns3="e8c26b76-1638-4578-876d-f13c158114d3" xmlns:ns4="11e76996-0ddf-41c1-b944-d1c4a0f572f1" targetNamespace="http://schemas.microsoft.com/office/2006/metadata/properties" ma:root="true" ma:fieldsID="ed75fb4c7857b17eede6250736f53f2d" ns2:_="" ns3:_="" ns4:_="">
    <xsd:import namespace="313bb955-924e-4bb9-b079-d71d0682da70"/>
    <xsd:import namespace="e8c26b76-1638-4578-876d-f13c158114d3"/>
    <xsd:import namespace="11e76996-0ddf-41c1-b944-d1c4a0f572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bb955-924e-4bb9-b079-d71d0682da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26b76-1638-4578-876d-f13c158114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76996-0ddf-41c1-b944-d1c4a0f572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b96239-5200-4472-920f-5a634f842ffc}" ma:internalName="TaxCatchAll" ma:showField="CatchAllData" ma:web="e8c26b76-1638-4578-876d-f13c158114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3bb955-924e-4bb9-b079-d71d0682da70">
      <Terms xmlns="http://schemas.microsoft.com/office/infopath/2007/PartnerControls"/>
    </lcf76f155ced4ddcb4097134ff3c332f>
    <TaxCatchAll xmlns="11e76996-0ddf-41c1-b944-d1c4a0f572f1" xsi:nil="true"/>
  </documentManagement>
</p:properties>
</file>

<file path=customXml/itemProps1.xml><?xml version="1.0" encoding="utf-8"?>
<ds:datastoreItem xmlns:ds="http://schemas.openxmlformats.org/officeDocument/2006/customXml" ds:itemID="{BCBFFAFE-E10B-4397-82B4-9B49AF7E20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bb955-924e-4bb9-b079-d71d0682da70"/>
    <ds:schemaRef ds:uri="e8c26b76-1638-4578-876d-f13c158114d3"/>
    <ds:schemaRef ds:uri="11e76996-0ddf-41c1-b944-d1c4a0f572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221202-E237-4C79-8463-0E097B7087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3B7085-FD81-4EAF-9DE9-F849041BBE09}">
  <ds:schemaRefs>
    <ds:schemaRef ds:uri="e8c26b76-1638-4578-876d-f13c158114d3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11e76996-0ddf-41c1-b944-d1c4a0f572f1"/>
    <ds:schemaRef ds:uri="313bb955-924e-4bb9-b079-d71d0682da7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Implementation Plan</vt:lpstr>
      <vt:lpstr>CW1</vt:lpstr>
      <vt:lpstr>Sheet1</vt:lpstr>
      <vt:lpstr>'Implementation Plan'!Print_Area</vt:lpstr>
      <vt:lpstr>'Implementation Plan'!Print_Titles</vt:lpstr>
    </vt:vector>
  </TitlesOfParts>
  <Manager/>
  <Company>Panalpina Management LTD.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 Excel Project Plan Template</dc:title>
  <dc:subject/>
  <dc:creator>marco.daescher</dc:creator>
  <cp:keywords/>
  <dc:description/>
  <cp:lastModifiedBy>Mikhael Jorge - DSV</cp:lastModifiedBy>
  <cp:revision/>
  <dcterms:created xsi:type="dcterms:W3CDTF">2009-10-27T09:11:17Z</dcterms:created>
  <dcterms:modified xsi:type="dcterms:W3CDTF">2026-04-15T18:09:48Z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0x01010053417C202287E740848B9B309A8A86EA</vt:lpwstr>
  </property>
  <property fmtid="{D5CDD505-2E9C-101B-9397-08002B2CF9AE}" pid="3" name="_dlc_DocIdItemGuid">
    <vt:lpwstr>7d72e9fd-25a6-461a-abff-3bb4d4ac3147</vt:lpwstr>
  </property>
  <property fmtid="{D5CDD505-2E9C-101B-9397-08002B2CF9AE}" pid="4" name="MediaServiceImageTags">
    <vt:lpwstr/>
  </property>
  <property fmtid="{D5CDD505-2E9C-101B-9397-08002B2CF9AE}" pid="5" name="MSIP_Label_fc6c1fee-2f04-49ca-98cf-bcf61896c7fa_Enabled">
    <vt:lpwstr>true</vt:lpwstr>
  </property>
  <property fmtid="{D5CDD505-2E9C-101B-9397-08002B2CF9AE}" pid="6" name="MSIP_Label_fc6c1fee-2f04-49ca-98cf-bcf61896c7fa_SetDate">
    <vt:lpwstr>2025-06-10T13:43:25Z</vt:lpwstr>
  </property>
  <property fmtid="{D5CDD505-2E9C-101B-9397-08002B2CF9AE}" pid="7" name="MSIP_Label_fc6c1fee-2f04-49ca-98cf-bcf61896c7fa_Method">
    <vt:lpwstr>Standard</vt:lpwstr>
  </property>
  <property fmtid="{D5CDD505-2E9C-101B-9397-08002B2CF9AE}" pid="8" name="MSIP_Label_fc6c1fee-2f04-49ca-98cf-bcf61896c7fa_Name">
    <vt:lpwstr>Internal</vt:lpwstr>
  </property>
  <property fmtid="{D5CDD505-2E9C-101B-9397-08002B2CF9AE}" pid="9" name="MSIP_Label_fc6c1fee-2f04-49ca-98cf-bcf61896c7fa_SiteId">
    <vt:lpwstr>4a90c23a-3ece-4ef2-b857-522f23b8204c</vt:lpwstr>
  </property>
  <property fmtid="{D5CDD505-2E9C-101B-9397-08002B2CF9AE}" pid="10" name="MSIP_Label_fc6c1fee-2f04-49ca-98cf-bcf61896c7fa_ActionId">
    <vt:lpwstr>1f7640ed-3d59-4d36-bd9d-ae4772dc4e6e</vt:lpwstr>
  </property>
  <property fmtid="{D5CDD505-2E9C-101B-9397-08002B2CF9AE}" pid="11" name="MSIP_Label_fc6c1fee-2f04-49ca-98cf-bcf61896c7fa_ContentBits">
    <vt:lpwstr>2</vt:lpwstr>
  </property>
</Properties>
</file>